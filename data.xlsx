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C\SHA1\QC Plastic\Ceiling Fan\Daily Prod\"/>
    </mc:Choice>
  </mc:AlternateContent>
  <xr:revisionPtr revIDLastSave="0" documentId="13_ncr:1_{195FCFB9-8AB2-45E6-9A3A-FBB1077C6021}" xr6:coauthVersionLast="36" xr6:coauthVersionMax="36" xr10:uidLastSave="{00000000-0000-0000-0000-000000000000}"/>
  <bookViews>
    <workbookView xWindow="0" yWindow="0" windowWidth="23040" windowHeight="8772" xr2:uid="{117E979B-2626-4297-BF05-78AA54C97FFD}"/>
  </bookViews>
  <sheets>
    <sheet name="📋 إدخال الإنتاج" sheetId="1" r:id="rId1"/>
  </sheets>
  <externalReferences>
    <externalReference r:id="rId2"/>
  </externalReferences>
  <definedNames>
    <definedName name="_xlnm._FilterDatabase" localSheetId="0" hidden="1">'📋 إدخال الإنتاج'!$A$4:$L$85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5" i="1" l="1"/>
  <c r="G84" i="1"/>
  <c r="J84" i="1" s="1"/>
  <c r="G83" i="1"/>
  <c r="J83" i="1" s="1"/>
  <c r="G82" i="1"/>
  <c r="J82" i="1" s="1"/>
  <c r="G81" i="1"/>
  <c r="J81" i="1" s="1"/>
  <c r="G80" i="1"/>
  <c r="J80" i="1" s="1"/>
  <c r="G79" i="1"/>
  <c r="J79" i="1" s="1"/>
  <c r="G78" i="1"/>
  <c r="J78" i="1" s="1"/>
  <c r="G77" i="1"/>
  <c r="J77" i="1" s="1"/>
  <c r="G76" i="1"/>
  <c r="J76" i="1" s="1"/>
  <c r="G75" i="1"/>
  <c r="J75" i="1" s="1"/>
  <c r="G74" i="1"/>
  <c r="J74" i="1" s="1"/>
  <c r="G73" i="1"/>
  <c r="J73" i="1" s="1"/>
  <c r="G72" i="1"/>
  <c r="J72" i="1" s="1"/>
  <c r="G71" i="1"/>
  <c r="J71" i="1" s="1"/>
  <c r="G70" i="1"/>
  <c r="J70" i="1" s="1"/>
  <c r="G69" i="1"/>
  <c r="J69" i="1" s="1"/>
  <c r="G68" i="1"/>
  <c r="J68" i="1" s="1"/>
  <c r="G67" i="1"/>
  <c r="J67" i="1" s="1"/>
  <c r="G66" i="1"/>
  <c r="J66" i="1" s="1"/>
  <c r="G65" i="1"/>
  <c r="J65" i="1" s="1"/>
  <c r="G64" i="1"/>
  <c r="J64" i="1" s="1"/>
  <c r="G63" i="1"/>
  <c r="J63" i="1" s="1"/>
  <c r="G62" i="1"/>
  <c r="J62" i="1" s="1"/>
  <c r="G61" i="1"/>
  <c r="J61" i="1" s="1"/>
  <c r="G60" i="1"/>
  <c r="J60" i="1" s="1"/>
  <c r="G59" i="1"/>
  <c r="J59" i="1" s="1"/>
  <c r="G58" i="1"/>
  <c r="J58" i="1" s="1"/>
  <c r="G57" i="1"/>
  <c r="J57" i="1" s="1"/>
  <c r="G56" i="1"/>
  <c r="J56" i="1" s="1"/>
  <c r="G55" i="1"/>
  <c r="J55" i="1" s="1"/>
  <c r="G54" i="1"/>
  <c r="J54" i="1" s="1"/>
  <c r="G53" i="1"/>
  <c r="J53" i="1" s="1"/>
  <c r="G52" i="1"/>
  <c r="J52" i="1" s="1"/>
  <c r="G51" i="1"/>
  <c r="J51" i="1" s="1"/>
  <c r="G50" i="1"/>
  <c r="J50" i="1" s="1"/>
  <c r="G49" i="1"/>
  <c r="J49" i="1" s="1"/>
  <c r="G48" i="1"/>
  <c r="J48" i="1" s="1"/>
  <c r="G47" i="1"/>
  <c r="J47" i="1" s="1"/>
  <c r="G46" i="1"/>
  <c r="J46" i="1" s="1"/>
  <c r="G45" i="1"/>
  <c r="J45" i="1" s="1"/>
  <c r="G44" i="1"/>
  <c r="J44" i="1" s="1"/>
  <c r="G43" i="1"/>
  <c r="J43" i="1" s="1"/>
  <c r="G42" i="1"/>
  <c r="J42" i="1" s="1"/>
  <c r="G41" i="1"/>
  <c r="J41" i="1" s="1"/>
  <c r="G40" i="1"/>
  <c r="J40" i="1" s="1"/>
  <c r="G39" i="1"/>
  <c r="J39" i="1" s="1"/>
  <c r="G38" i="1"/>
  <c r="J38" i="1" s="1"/>
  <c r="G37" i="1"/>
  <c r="J37" i="1" s="1"/>
  <c r="G36" i="1"/>
  <c r="J36" i="1" s="1"/>
  <c r="G35" i="1"/>
  <c r="J35" i="1" s="1"/>
  <c r="G34" i="1"/>
  <c r="J34" i="1" s="1"/>
  <c r="G33" i="1"/>
  <c r="J33" i="1" s="1"/>
  <c r="G32" i="1"/>
  <c r="J32" i="1" s="1"/>
  <c r="G31" i="1"/>
  <c r="J31" i="1" s="1"/>
  <c r="G30" i="1"/>
  <c r="J30" i="1" s="1"/>
  <c r="G29" i="1"/>
  <c r="J29" i="1" s="1"/>
  <c r="G28" i="1"/>
  <c r="J28" i="1" s="1"/>
  <c r="G27" i="1"/>
  <c r="J27" i="1" s="1"/>
  <c r="G26" i="1"/>
  <c r="J26" i="1" s="1"/>
  <c r="G25" i="1"/>
  <c r="J25" i="1" s="1"/>
  <c r="G24" i="1"/>
  <c r="J24" i="1" s="1"/>
  <c r="G23" i="1"/>
  <c r="J23" i="1" s="1"/>
  <c r="G22" i="1"/>
  <c r="J22" i="1" s="1"/>
  <c r="G21" i="1"/>
  <c r="J21" i="1" s="1"/>
  <c r="G20" i="1"/>
  <c r="J20" i="1" s="1"/>
  <c r="G19" i="1"/>
  <c r="J19" i="1" s="1"/>
  <c r="G18" i="1"/>
  <c r="J18" i="1" s="1"/>
  <c r="J17" i="1"/>
  <c r="J15" i="1"/>
  <c r="G14" i="1"/>
  <c r="J14" i="1" s="1"/>
  <c r="G13" i="1"/>
  <c r="J13" i="1" s="1"/>
  <c r="G12" i="1"/>
  <c r="J12" i="1" s="1"/>
  <c r="G11" i="1"/>
  <c r="J11" i="1" s="1"/>
  <c r="G10" i="1"/>
  <c r="J10" i="1" s="1"/>
  <c r="G9" i="1"/>
  <c r="J9" i="1" s="1"/>
  <c r="G8" i="1"/>
  <c r="J8" i="1" s="1"/>
  <c r="G7" i="1"/>
  <c r="J7" i="1" s="1"/>
  <c r="G6" i="1"/>
  <c r="J6" i="1" s="1"/>
  <c r="G5" i="1"/>
  <c r="J5" i="1" s="1"/>
  <c r="L78" i="1" l="1"/>
  <c r="K78" i="1"/>
  <c r="L22" i="1"/>
  <c r="K22" i="1"/>
  <c r="L38" i="1"/>
  <c r="K38" i="1"/>
  <c r="L54" i="1"/>
  <c r="K54" i="1"/>
  <c r="L70" i="1"/>
  <c r="K70" i="1"/>
  <c r="L7" i="1"/>
  <c r="K7" i="1"/>
  <c r="L15" i="1"/>
  <c r="K15" i="1"/>
  <c r="L23" i="1"/>
  <c r="K23" i="1"/>
  <c r="L31" i="1"/>
  <c r="K31" i="1"/>
  <c r="L39" i="1"/>
  <c r="K39" i="1"/>
  <c r="L47" i="1"/>
  <c r="K47" i="1"/>
  <c r="L55" i="1"/>
  <c r="K55" i="1"/>
  <c r="L63" i="1"/>
  <c r="K63" i="1"/>
  <c r="L71" i="1"/>
  <c r="K71" i="1"/>
  <c r="L79" i="1"/>
  <c r="K79" i="1"/>
  <c r="L14" i="1"/>
  <c r="K14" i="1"/>
  <c r="L30" i="1"/>
  <c r="K30" i="1"/>
  <c r="L46" i="1"/>
  <c r="K46" i="1"/>
  <c r="L62" i="1"/>
  <c r="K62" i="1"/>
  <c r="L8" i="1"/>
  <c r="K8" i="1"/>
  <c r="L16" i="1"/>
  <c r="K16" i="1"/>
  <c r="L24" i="1"/>
  <c r="K24" i="1"/>
  <c r="L32" i="1"/>
  <c r="K32" i="1"/>
  <c r="L40" i="1"/>
  <c r="K40" i="1"/>
  <c r="L48" i="1"/>
  <c r="K48" i="1"/>
  <c r="L56" i="1"/>
  <c r="K56" i="1"/>
  <c r="L64" i="1"/>
  <c r="K64" i="1"/>
  <c r="L72" i="1"/>
  <c r="K72" i="1"/>
  <c r="L80" i="1"/>
  <c r="K80" i="1"/>
  <c r="L81" i="1"/>
  <c r="K81" i="1"/>
  <c r="L9" i="1"/>
  <c r="K9" i="1"/>
  <c r="L41" i="1"/>
  <c r="K41" i="1"/>
  <c r="L65" i="1"/>
  <c r="K65" i="1"/>
  <c r="L73" i="1"/>
  <c r="K73" i="1"/>
  <c r="L10" i="1"/>
  <c r="K10" i="1"/>
  <c r="L18" i="1"/>
  <c r="K18" i="1"/>
  <c r="L26" i="1"/>
  <c r="K26" i="1"/>
  <c r="L34" i="1"/>
  <c r="K34" i="1"/>
  <c r="L42" i="1"/>
  <c r="K42" i="1"/>
  <c r="L50" i="1"/>
  <c r="K50" i="1"/>
  <c r="L58" i="1"/>
  <c r="K58" i="1"/>
  <c r="L66" i="1"/>
  <c r="K66" i="1"/>
  <c r="L74" i="1"/>
  <c r="K74" i="1"/>
  <c r="L82" i="1"/>
  <c r="K82" i="1"/>
  <c r="L6" i="1"/>
  <c r="K6" i="1"/>
  <c r="L33" i="1"/>
  <c r="K33" i="1"/>
  <c r="L19" i="1"/>
  <c r="K19" i="1"/>
  <c r="L43" i="1"/>
  <c r="K43" i="1"/>
  <c r="L59" i="1"/>
  <c r="K59" i="1"/>
  <c r="L67" i="1"/>
  <c r="K67" i="1"/>
  <c r="L75" i="1"/>
  <c r="K75" i="1"/>
  <c r="L83" i="1"/>
  <c r="K83" i="1"/>
  <c r="L17" i="1"/>
  <c r="K17" i="1"/>
  <c r="L49" i="1"/>
  <c r="K49" i="1"/>
  <c r="L27" i="1"/>
  <c r="K27" i="1"/>
  <c r="L51" i="1"/>
  <c r="K51" i="1"/>
  <c r="L12" i="1"/>
  <c r="K12" i="1"/>
  <c r="L20" i="1"/>
  <c r="K20" i="1"/>
  <c r="L28" i="1"/>
  <c r="K28" i="1"/>
  <c r="L36" i="1"/>
  <c r="K36" i="1"/>
  <c r="L44" i="1"/>
  <c r="K44" i="1"/>
  <c r="L52" i="1"/>
  <c r="K52" i="1"/>
  <c r="L60" i="1"/>
  <c r="K60" i="1"/>
  <c r="L68" i="1"/>
  <c r="K68" i="1"/>
  <c r="L76" i="1"/>
  <c r="K76" i="1"/>
  <c r="L84" i="1"/>
  <c r="K84" i="1"/>
  <c r="L25" i="1"/>
  <c r="K25" i="1"/>
  <c r="L57" i="1"/>
  <c r="K57" i="1"/>
  <c r="L11" i="1"/>
  <c r="K11" i="1"/>
  <c r="L35" i="1"/>
  <c r="K35" i="1"/>
  <c r="L5" i="1"/>
  <c r="K5" i="1"/>
  <c r="J85" i="1"/>
  <c r="K85" i="1" s="1"/>
  <c r="L13" i="1"/>
  <c r="K13" i="1"/>
  <c r="L21" i="1"/>
  <c r="K21" i="1"/>
  <c r="L29" i="1"/>
  <c r="K29" i="1"/>
  <c r="L37" i="1"/>
  <c r="K37" i="1"/>
  <c r="L45" i="1"/>
  <c r="K45" i="1"/>
  <c r="L53" i="1"/>
  <c r="K53" i="1"/>
  <c r="L61" i="1"/>
  <c r="K61" i="1"/>
  <c r="L69" i="1"/>
  <c r="K69" i="1"/>
  <c r="L77" i="1"/>
  <c r="K77" i="1"/>
  <c r="L85" i="1" l="1"/>
</calcChain>
</file>

<file path=xl/sharedStrings.xml><?xml version="1.0" encoding="utf-8"?>
<sst xmlns="http://schemas.openxmlformats.org/spreadsheetml/2006/main" count="68" uniqueCount="32">
  <si>
    <t>📋  سجل الإنتاج اليومي  –  جميع الأقسام</t>
  </si>
  <si>
    <t>🔽  اختر القسم:</t>
  </si>
  <si>
    <t>الكل</t>
  </si>
  <si>
    <t>🔽  اختر الوردية:</t>
  </si>
  <si>
    <t>⚠  اختر القسم والوردية من القائمة ثم أدخل الكميات  ⚠</t>
  </si>
  <si>
    <t>#</t>
  </si>
  <si>
    <t>التاريخ</t>
  </si>
  <si>
    <t>القسم</t>
  </si>
  <si>
    <t>اسم الصنف</t>
  </si>
  <si>
    <t>الوردية</t>
  </si>
  <si>
    <t>صورة الجزء</t>
  </si>
  <si>
    <t>معدل مخطط
(قطعة/ساعة)</t>
  </si>
  <si>
    <t>ساعات التشغيل
الفعلية</t>
  </si>
  <si>
    <t>الإنتاج
الفعلي</t>
  </si>
  <si>
    <t>الإنتاج
المخطط</t>
  </si>
  <si>
    <t>نسبة
الإنجاز %</t>
  </si>
  <si>
    <t>الفرق
±</t>
  </si>
  <si>
    <t>بلاستيك</t>
  </si>
  <si>
    <t>علبة سقف الجديدهTCF56</t>
  </si>
  <si>
    <t>وردية 1</t>
  </si>
  <si>
    <t>قاعدة علبة سقف الجديدهTCF56</t>
  </si>
  <si>
    <t>أكرة سقف الجديدهTCF56</t>
  </si>
  <si>
    <t>وردية 2</t>
  </si>
  <si>
    <t>وردية 3</t>
  </si>
  <si>
    <t>مكابس</t>
  </si>
  <si>
    <t>براكيت مروحة سقف</t>
  </si>
  <si>
    <t>📊  الإجماليات</t>
  </si>
  <si>
    <t>🟦 أزرق = إدخال يدوي   |   🟨 أصفر = مخطط تلقائي   |   🟩 أخضر = نتائج   |   🔴 أحمر = إنجاز أقل من 80%</t>
  </si>
  <si>
    <t>دهان_معالجة</t>
  </si>
  <si>
    <t>تجميع_نهائي</t>
  </si>
  <si>
    <t>مفتاح سقف</t>
  </si>
  <si>
    <t>ريشة مروحة سقف مدهونة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</si>
</sst>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+#,##0;\-#,##0;\-"/>
    <numFmt numFmtId="166" formatCode="0.0"/>
  </numFmts>
  <fonts count="17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0"/>
      <color rgb="FF0D1B2A"/>
      <name val="11"/>
      <charset val="1"/>
    </font>
    <font>
      <b/>
      <sz val="10"/>
      <color rgb="FF1B4F8C"/>
      <name val="11"/>
      <charset val="1"/>
    </font>
    <font>
      <i/>
      <sz val="10"/>
      <color rgb="FF8B1A1A"/>
      <name val="10"/>
      <charset val="1"/>
    </font>
    <font>
      <b/>
      <sz val="10"/>
      <color rgb="FFFFFFFF"/>
      <name val="9"/>
      <charset val="1"/>
    </font>
    <font>
      <sz val="10"/>
      <color rgb="FF888888"/>
      <name val="9"/>
      <charset val="1"/>
    </font>
    <font>
      <sz val="10"/>
      <color rgb="FF0000FF"/>
      <name val="10"/>
      <charset val="1"/>
    </font>
    <font>
      <b/>
      <sz val="10"/>
      <color rgb="FF1B4F8C"/>
      <name val="10"/>
      <charset val="1"/>
    </font>
    <font>
      <sz val="10"/>
      <color rgb="FF000000"/>
      <name val="10"/>
      <charset val="1"/>
    </font>
    <font>
      <b/>
      <sz val="10"/>
      <color rgb="FF000000"/>
      <name val="10"/>
      <charset val="1"/>
    </font>
    <font>
      <b/>
      <sz val="10"/>
      <color rgb="FF0000FF"/>
      <name val="10"/>
      <charset val="1"/>
    </font>
    <font>
      <b/>
      <sz val="10"/>
      <color rgb="FF0000FF"/>
      <name val="11"/>
      <charset val="1"/>
    </font>
    <font>
      <b/>
      <sz val="10"/>
      <color rgb="FF0D1B2A"/>
      <name val="10"/>
      <charset val="1"/>
    </font>
    <font>
      <b/>
      <sz val="10"/>
      <color rgb="FFFFFFFF"/>
      <name val="11"/>
      <charset val="1"/>
    </font>
    <font>
      <b/>
      <sz val="10"/>
      <color rgb="FFFFFFFF"/>
      <name val="12"/>
      <charset val="1"/>
    </font>
    <font>
      <i/>
      <sz val="10"/>
      <color rgb="FF444444"/>
      <name val="9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8DC"/>
        <bgColor rgb="FFF9F9F9"/>
      </patternFill>
    </fill>
    <fill>
      <patternFill patternType="solid">
        <fgColor rgb="FFD6E8FF"/>
        <bgColor rgb="FFD4EDDA"/>
      </patternFill>
    </fill>
    <fill>
      <patternFill patternType="solid">
        <fgColor rgb="FFFDDEDE"/>
        <bgColor rgb="FFFFE8D6"/>
      </patternFill>
    </fill>
    <fill>
      <patternFill patternType="solid">
        <fgColor rgb="FF1B4F8C"/>
        <bgColor rgb="FF1A3A5C"/>
      </patternFill>
    </fill>
    <fill>
      <patternFill patternType="solid">
        <fgColor rgb="FF2E75B6"/>
        <bgColor rgb="FF0066CC"/>
      </patternFill>
    </fill>
    <fill>
      <patternFill patternType="solid">
        <fgColor rgb="FF1A6B3A"/>
        <bgColor rgb="FF1A5C3A"/>
      </patternFill>
    </fill>
    <fill>
      <patternFill patternType="solid">
        <fgColor rgb="FFF4F6F8"/>
        <bgColor rgb="FFF0F8FF"/>
      </patternFill>
    </fill>
    <fill>
      <patternFill patternType="solid">
        <fgColor rgb="FFF0F8FF"/>
        <bgColor rgb="FFEEF6FF"/>
      </patternFill>
    </fill>
    <fill>
      <patternFill patternType="solid">
        <fgColor rgb="FFEEF6FF"/>
        <bgColor rgb="FFEBF5FF"/>
      </patternFill>
    </fill>
    <fill>
      <patternFill patternType="solid">
        <fgColor rgb="FFD4EDDA"/>
        <bgColor rgb="FFD6E8FF"/>
      </patternFill>
    </fill>
    <fill>
      <patternFill patternType="solid">
        <fgColor rgb="FFFFFFFF"/>
        <bgColor rgb="FFF9F9F9"/>
      </patternFill>
    </fill>
    <fill>
      <patternFill patternType="solid">
        <fgColor rgb="FFD0D5DD"/>
        <bgColor rgb="FFD9D9D9"/>
      </patternFill>
    </fill>
    <fill>
      <patternFill patternType="solid">
        <fgColor rgb="FFEBF5FF"/>
        <bgColor rgb="FFEBF3FF"/>
      </patternFill>
    </fill>
    <fill>
      <patternFill patternType="solid">
        <fgColor rgb="FFEBF3FF"/>
        <bgColor rgb="FFEBF5FF"/>
      </patternFill>
    </fill>
  </fills>
  <borders count="6">
    <border>
      <left/>
      <right/>
      <top/>
      <bottom/>
      <diagonal/>
    </border>
    <border>
      <left style="medium">
        <color rgb="FF0D1B2A"/>
      </left>
      <right/>
      <top style="medium">
        <color rgb="FF0D1B2A"/>
      </top>
      <bottom style="medium">
        <color rgb="FF0D1B2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hair">
        <color rgb="FFBBBBBB"/>
      </left>
      <right style="hair">
        <color rgb="FFBBBBBB"/>
      </right>
      <top style="hair">
        <color rgb="FFBBBBBB"/>
      </top>
      <bottom style="hair">
        <color rgb="FFBBBBBB"/>
      </bottom>
      <diagonal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/>
    <xf numFmtId="0" fontId="5" fillId="2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14" fontId="7" fillId="10" borderId="3" xfId="0" applyNumberFormat="1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right" vertical="center" wrapText="1"/>
    </xf>
    <xf numFmtId="3" fontId="11" fillId="3" borderId="3" xfId="0" applyNumberFormat="1" applyFont="1" applyFill="1" applyBorder="1" applyAlignment="1">
      <alignment horizontal="center" vertical="center" wrapText="1"/>
    </xf>
    <xf numFmtId="2" fontId="11" fillId="11" borderId="3" xfId="0" applyNumberFormat="1" applyFont="1" applyFill="1" applyBorder="1" applyAlignment="1">
      <alignment horizontal="center" vertical="center" wrapText="1"/>
    </xf>
    <xf numFmtId="3" fontId="12" fillId="11" borderId="3" xfId="0" applyNumberFormat="1" applyFont="1" applyFill="1" applyBorder="1" applyAlignment="1">
      <alignment horizontal="center" vertical="center" wrapText="1"/>
    </xf>
    <xf numFmtId="3" fontId="13" fillId="4" borderId="3" xfId="0" applyNumberFormat="1" applyFont="1" applyFill="1" applyBorder="1" applyAlignment="1">
      <alignment horizontal="center" vertical="center" wrapText="1"/>
    </xf>
    <xf numFmtId="164" fontId="10" fillId="12" borderId="3" xfId="0" applyNumberFormat="1" applyFont="1" applyFill="1" applyBorder="1" applyAlignment="1">
      <alignment horizontal="center" vertical="center" wrapText="1"/>
    </xf>
    <xf numFmtId="165" fontId="10" fillId="13" borderId="3" xfId="0" applyNumberFormat="1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14" fontId="7" fillId="15" borderId="3" xfId="0" applyNumberFormat="1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right" vertical="center" wrapText="1"/>
    </xf>
    <xf numFmtId="165" fontId="10" fillId="16" borderId="3" xfId="0" applyNumberFormat="1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166" fontId="11" fillId="11" borderId="3" xfId="0" applyNumberFormat="1" applyFont="1" applyFill="1" applyBorder="1" applyAlignment="1">
      <alignment horizontal="center" vertical="center" wrapText="1"/>
    </xf>
    <xf numFmtId="3" fontId="15" fillId="2" borderId="5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5" fontId="15" fillId="2" borderId="5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9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8B1A1A"/>
      </font>
      <fill>
        <patternFill>
          <bgColor rgb="FFFDDEDE"/>
        </patternFill>
      </fill>
    </dxf>
    <dxf>
      <font>
        <b/>
        <color rgb="FF7D5A00"/>
      </font>
      <fill>
        <patternFill>
          <bgColor rgb="FFFFF8DC"/>
        </patternFill>
      </fill>
    </dxf>
    <dxf>
      <font>
        <b/>
        <color rgb="FF1A6B3A"/>
      </font>
      <fill>
        <patternFill>
          <bgColor rgb="FFD4ED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144780</xdr:colOff>
      <xdr:row>4</xdr:row>
      <xdr:rowOff>17928</xdr:rowOff>
    </xdr:from>
    <xdr:to>
      <xdr:col>5</xdr:col>
      <xdr:colOff>934572</xdr:colOff>
      <xdr:row>4</xdr:row>
      <xdr:rowOff>627528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B7A53-5CD2-403D-9D6A-9ED5C444B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37027844" y="1421352"/>
          <a:ext cx="609600" cy="789792"/>
        </a:xfrm>
        <a:prstGeom prst="rect">
          <a:avLst/>
        </a:prstGeom>
      </xdr:spPr>
    </xdr:pic>
    <xdr:clientData/>
  </xdr:twoCellAnchor>
  <xdr:twoCellAnchor editAs="oneCell">
    <xdr:from>
      <xdr:col>5</xdr:col>
      <xdr:colOff>137160</xdr:colOff>
      <xdr:row>5</xdr:row>
      <xdr:rowOff>17388</xdr:rowOff>
    </xdr:from>
    <xdr:to>
      <xdr:col>5</xdr:col>
      <xdr:colOff>935470</xdr:colOff>
      <xdr:row>5</xdr:row>
      <xdr:rowOff>543168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B3A89A-98CC-48A6-8999-A0313C42B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737073115" y="2052823"/>
          <a:ext cx="525780" cy="798310"/>
        </a:xfrm>
        <a:prstGeom prst="rect">
          <a:avLst/>
        </a:prstGeom>
      </xdr:spPr>
    </xdr:pic>
    <xdr:clientData/>
  </xdr:twoCellAnchor>
  <xdr:twoCellAnchor editAs="oneCell">
    <xdr:from>
      <xdr:col>5</xdr:col>
      <xdr:colOff>137160</xdr:colOff>
      <xdr:row>6</xdr:row>
      <xdr:rowOff>27052</xdr:rowOff>
    </xdr:from>
    <xdr:to>
      <xdr:col>5</xdr:col>
      <xdr:colOff>939916</xdr:colOff>
      <xdr:row>6</xdr:row>
      <xdr:rowOff>685800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9B3FFF-1F94-44D1-8B35-FDB0B8EE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6932404" y="2800732"/>
          <a:ext cx="802756" cy="6587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abry02\AppData\Local\Microsoft\Windows\INetCache\Content.Outlook\Z1DOXYA2\Ceiling%20Fan%20Parts%20Prod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⚙ الإعدادات"/>
      <sheetName val="📋 إدخال الإنتاج"/>
      <sheetName val="Sheet1"/>
      <sheetName val="🎯 حاسبة الإنجاز"/>
      <sheetName val="📊 لوحة التحكم"/>
    </sheetNames>
    <sheetDataSet>
      <sheetData sheetId="0">
        <row r="4">
          <cell r="B4" t="str">
            <v>ريشة مروحة سقف (صاج اسود)</v>
          </cell>
        </row>
        <row r="5">
          <cell r="B5" t="str">
            <v>براكيت مروحة سقف</v>
          </cell>
        </row>
        <row r="6">
          <cell r="B6" t="str">
            <v>ريشة مروحة سقف نهائى (برشمة)</v>
          </cell>
        </row>
        <row r="16">
          <cell r="B16" t="str">
            <v>علبة سقف الجديدهTCF56</v>
          </cell>
          <cell r="C16" t="str">
            <v>BPS1007</v>
          </cell>
          <cell r="D16">
            <v>360</v>
          </cell>
        </row>
        <row r="17">
          <cell r="B17" t="str">
            <v>قاعدة علبة سقف الجديدهTCF56</v>
          </cell>
          <cell r="C17" t="str">
            <v>BPS1008</v>
          </cell>
          <cell r="D17">
            <v>480</v>
          </cell>
        </row>
        <row r="18">
          <cell r="B18" t="str">
            <v>أكرة سقف الجديدهTCF56</v>
          </cell>
          <cell r="C18" t="str">
            <v>BPS1006</v>
          </cell>
          <cell r="D18">
            <v>1080</v>
          </cell>
        </row>
        <row r="22">
          <cell r="B22" t="str">
            <v>مفتاح مروحة سقف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9841-F587-4E30-8656-90A384FAF319}">
  <sheetPr>
    <tabColor rgb="FF2E75B6"/>
  </sheetPr>
  <dimension ref="A1:L87"/>
  <sheetViews>
    <sheetView rightToLeft="1" tabSelected="1" zoomScaleNormal="100" workbookViewId="0">
      <pane ySplit="4" topLeftCell="A5" activePane="bottomLeft" state="frozen"/>
      <selection pane="bottomLeft" activeCell="H6" sqref="H6"/>
    </sheetView>
  </sheetViews>
  <sheetFormatPr defaultColWidth="8.6640625" defaultRowHeight="14.4"/>
  <cols>
    <col min="1" max="1" width="6" style="1" customWidth="1"/>
    <col min="2" max="2" width="13" style="1" customWidth="1"/>
    <col min="3" max="3" width="16" style="1" customWidth="1"/>
    <col min="4" max="4" width="22" style="1" customWidth="1"/>
    <col min="5" max="5" width="14" style="1" customWidth="1"/>
    <col min="6" max="9" width="16" style="1" customWidth="1"/>
    <col min="10" max="10" width="14" style="1" customWidth="1"/>
    <col min="11" max="11" width="18" style="1" customWidth="1"/>
    <col min="12" max="12" width="7.6640625" style="1" bestFit="1" customWidth="1"/>
  </cols>
  <sheetData>
    <row r="1" spans="1:12" ht="51.7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3.5" customHeight="1" thickBot="1"/>
    <row r="3" spans="1:12" ht="27.75" customHeight="1" thickBot="1">
      <c r="A3" s="32" t="s">
        <v>1</v>
      </c>
      <c r="B3" s="32"/>
      <c r="C3" s="33" t="s">
        <v>2</v>
      </c>
      <c r="D3" s="33"/>
      <c r="E3" s="32" t="s">
        <v>3</v>
      </c>
      <c r="F3" s="32"/>
      <c r="G3" s="33" t="s">
        <v>2</v>
      </c>
      <c r="H3" s="33"/>
      <c r="I3" s="34" t="s">
        <v>4</v>
      </c>
      <c r="J3" s="34"/>
      <c r="K3" s="34"/>
      <c r="L3" s="34"/>
    </row>
    <row r="4" spans="1:12" ht="25.5" customHeight="1">
      <c r="A4" s="2" t="s">
        <v>5</v>
      </c>
      <c r="B4" s="2" t="s">
        <v>6</v>
      </c>
      <c r="C4" s="3" t="s">
        <v>7</v>
      </c>
      <c r="D4" s="3" t="s">
        <v>8</v>
      </c>
      <c r="E4" s="2" t="s">
        <v>9</v>
      </c>
      <c r="F4" s="2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5" t="s">
        <v>15</v>
      </c>
      <c r="L4" s="5" t="s">
        <v>16</v>
      </c>
    </row>
    <row r="5" spans="1:12" ht="53.4" customHeight="1">
      <c r="A5" s="6">
        <v>1</v>
      </c>
      <c r="B5" s="7">
        <v>46180</v>
      </c>
      <c r="C5" s="8" t="s">
        <v>17</v>
      </c>
      <c r="D5" s="9" t="s">
        <v>18</v>
      </c>
      <c r="E5" s="10" t="s">
        <v>19</v>
      </c>
      <c r="F5" s="11"/>
      <c r="G5" s="12">
        <f>IFERROR(VLOOKUP(D5,'[1]⚙ الإعدادات'!$B$4:$D$27,3,0),"")</f>
        <v>360</v>
      </c>
      <c r="H5" s="13">
        <v>4</v>
      </c>
      <c r="I5" s="14">
        <v>1260</v>
      </c>
      <c r="J5" s="15">
        <f t="shared" ref="J5:J68" si="0">IFERROR(IF(AND(G5&lt;&gt;"",H5&lt;&gt;""),G5*H5,""),"")</f>
        <v>1440</v>
      </c>
      <c r="K5" s="16">
        <f t="shared" ref="K5:K68" si="1">IFERROR(IF(AND(I5&lt;&gt;"",J5&lt;&gt;"",J5&gt;0),I5/J5,""),"")</f>
        <v>0.875</v>
      </c>
      <c r="L5" s="17">
        <f t="shared" ref="L5:L68" si="2">IFERROR(IF(AND(I5&lt;&gt;"",J5&lt;&gt;""),I5-J5,""),"")</f>
        <v>-180</v>
      </c>
    </row>
    <row r="6" spans="1:12" ht="47.4" customHeight="1">
      <c r="A6" s="18">
        <v>2</v>
      </c>
      <c r="B6" s="19">
        <v>46180</v>
      </c>
      <c r="C6" s="8" t="s">
        <v>17</v>
      </c>
      <c r="D6" s="9" t="s">
        <v>20</v>
      </c>
      <c r="E6" s="20" t="s">
        <v>19</v>
      </c>
      <c r="F6" s="21"/>
      <c r="G6" s="12">
        <f>IFERROR(VLOOKUP(D6,'[1]⚙ الإعدادات'!$B$4:$D$27,3,0),"")</f>
        <v>480</v>
      </c>
      <c r="H6" s="13">
        <v>4.75</v>
      </c>
      <c r="I6" s="14">
        <v>1920</v>
      </c>
      <c r="J6" s="15">
        <f t="shared" si="0"/>
        <v>2280</v>
      </c>
      <c r="K6" s="16">
        <f t="shared" si="1"/>
        <v>0.84210526315789469</v>
      </c>
      <c r="L6" s="22">
        <f t="shared" si="2"/>
        <v>-360</v>
      </c>
    </row>
    <row r="7" spans="1:12" ht="57" customHeight="1">
      <c r="A7" s="6">
        <v>3</v>
      </c>
      <c r="B7" s="7">
        <v>46180</v>
      </c>
      <c r="C7" s="8" t="s">
        <v>17</v>
      </c>
      <c r="D7" s="9" t="s">
        <v>21</v>
      </c>
      <c r="E7" s="10" t="s">
        <v>19</v>
      </c>
      <c r="F7" s="11"/>
      <c r="G7" s="12">
        <f>IFERROR(VLOOKUP(D7,'[1]⚙ الإعدادات'!$B$4:$D$27,3,0),"")</f>
        <v>1080</v>
      </c>
      <c r="H7" s="13">
        <v>1.75</v>
      </c>
      <c r="I7" s="14">
        <v>780</v>
      </c>
      <c r="J7" s="15">
        <f t="shared" si="0"/>
        <v>1890</v>
      </c>
      <c r="K7" s="16">
        <f t="shared" si="1"/>
        <v>0.41269841269841268</v>
      </c>
      <c r="L7" s="17">
        <f t="shared" si="2"/>
        <v>-1110</v>
      </c>
    </row>
    <row r="8" spans="1:12" ht="21.75" customHeight="1">
      <c r="A8" s="18">
        <v>4</v>
      </c>
      <c r="B8" s="7">
        <v>46180</v>
      </c>
      <c r="C8" s="8" t="s">
        <v>17</v>
      </c>
      <c r="D8" s="9" t="s">
        <v>18</v>
      </c>
      <c r="E8" s="20" t="s">
        <v>22</v>
      </c>
      <c r="F8" s="21"/>
      <c r="G8" s="12">
        <f>IFERROR(VLOOKUP(D8,'[1]⚙ الإعدادات'!$B$4:$D$27,3,0),"")</f>
        <v>360</v>
      </c>
      <c r="H8" s="13">
        <v>7.5</v>
      </c>
      <c r="I8" s="14">
        <v>2640</v>
      </c>
      <c r="J8" s="15">
        <f t="shared" si="0"/>
        <v>2700</v>
      </c>
      <c r="K8" s="16">
        <f t="shared" si="1"/>
        <v>0.97777777777777775</v>
      </c>
      <c r="L8" s="22">
        <f t="shared" si="2"/>
        <v>-60</v>
      </c>
    </row>
    <row r="9" spans="1:12" ht="21.75" customHeight="1">
      <c r="A9" s="6">
        <v>5</v>
      </c>
      <c r="B9" s="19">
        <v>46180</v>
      </c>
      <c r="C9" s="8" t="s">
        <v>17</v>
      </c>
      <c r="D9" s="9" t="s">
        <v>20</v>
      </c>
      <c r="E9" s="10" t="s">
        <v>22</v>
      </c>
      <c r="F9" s="11"/>
      <c r="G9" s="12">
        <f>IFERROR(VLOOKUP(D9,'[1]⚙ الإعدادات'!$B$4:$D$27,3,0),"")</f>
        <v>480</v>
      </c>
      <c r="H9" s="13">
        <v>8</v>
      </c>
      <c r="I9" s="14">
        <v>3800</v>
      </c>
      <c r="J9" s="15">
        <f t="shared" si="0"/>
        <v>3840</v>
      </c>
      <c r="K9" s="16">
        <f t="shared" si="1"/>
        <v>0.98958333333333337</v>
      </c>
      <c r="L9" s="17">
        <f t="shared" si="2"/>
        <v>-40</v>
      </c>
    </row>
    <row r="10" spans="1:12" ht="21.75" customHeight="1">
      <c r="A10" s="18">
        <v>6</v>
      </c>
      <c r="B10" s="7">
        <v>46180</v>
      </c>
      <c r="C10" s="8" t="s">
        <v>17</v>
      </c>
      <c r="D10" s="9" t="s">
        <v>21</v>
      </c>
      <c r="E10" s="20" t="s">
        <v>22</v>
      </c>
      <c r="F10" s="21"/>
      <c r="G10" s="12">
        <f>IFERROR(VLOOKUP(D10,'[1]⚙ الإعدادات'!$B$4:$D$27,3,0),"")</f>
        <v>1080</v>
      </c>
      <c r="H10" s="13">
        <v>5.75</v>
      </c>
      <c r="I10" s="14">
        <v>4250</v>
      </c>
      <c r="J10" s="15">
        <f t="shared" si="0"/>
        <v>6210</v>
      </c>
      <c r="K10" s="16">
        <f t="shared" si="1"/>
        <v>0.6843800322061192</v>
      </c>
      <c r="L10" s="22">
        <f t="shared" si="2"/>
        <v>-1960</v>
      </c>
    </row>
    <row r="11" spans="1:12" ht="21.75" customHeight="1">
      <c r="A11" s="6">
        <v>7</v>
      </c>
      <c r="B11" s="7">
        <v>46180</v>
      </c>
      <c r="C11" s="8" t="s">
        <v>17</v>
      </c>
      <c r="D11" s="9" t="s">
        <v>18</v>
      </c>
      <c r="E11" s="10" t="s">
        <v>23</v>
      </c>
      <c r="F11" s="11"/>
      <c r="G11" s="12">
        <f>IFERROR(VLOOKUP(D11,'[1]⚙ الإعدادات'!$B$4:$D$27,3,0),"")</f>
        <v>360</v>
      </c>
      <c r="H11" s="13">
        <v>7</v>
      </c>
      <c r="I11" s="14">
        <v>2600</v>
      </c>
      <c r="J11" s="15">
        <f t="shared" si="0"/>
        <v>2520</v>
      </c>
      <c r="K11" s="16">
        <f t="shared" si="1"/>
        <v>1.0317460317460319</v>
      </c>
      <c r="L11" s="17">
        <f t="shared" si="2"/>
        <v>80</v>
      </c>
    </row>
    <row r="12" spans="1:12" ht="21.75" customHeight="1">
      <c r="A12" s="18">
        <v>8</v>
      </c>
      <c r="B12" s="19">
        <v>46180</v>
      </c>
      <c r="C12" s="8" t="s">
        <v>17</v>
      </c>
      <c r="D12" s="23" t="s">
        <v>20</v>
      </c>
      <c r="E12" s="20" t="s">
        <v>23</v>
      </c>
      <c r="F12" s="21"/>
      <c r="G12" s="12">
        <f>IFERROR(VLOOKUP(D12,'[1]⚙ الإعدادات'!$B$4:$D$27,3,0),"")</f>
        <v>480</v>
      </c>
      <c r="H12" s="13">
        <v>7.25</v>
      </c>
      <c r="I12" s="14">
        <v>3600</v>
      </c>
      <c r="J12" s="15">
        <f t="shared" si="0"/>
        <v>3480</v>
      </c>
      <c r="K12" s="16">
        <f t="shared" si="1"/>
        <v>1.0344827586206897</v>
      </c>
      <c r="L12" s="22">
        <f t="shared" si="2"/>
        <v>120</v>
      </c>
    </row>
    <row r="13" spans="1:12" ht="21.75" customHeight="1">
      <c r="A13" s="6">
        <v>9</v>
      </c>
      <c r="B13" s="7">
        <v>46180</v>
      </c>
      <c r="C13" s="8" t="s">
        <v>17</v>
      </c>
      <c r="D13" s="9" t="s">
        <v>21</v>
      </c>
      <c r="E13" s="10" t="s">
        <v>23</v>
      </c>
      <c r="F13" s="11"/>
      <c r="G13" s="12">
        <f>IFERROR(VLOOKUP(D13,'[1]⚙ الإعدادات'!$B$4:$D$27,3,0),"")</f>
        <v>1080</v>
      </c>
      <c r="H13" s="13">
        <v>7.25</v>
      </c>
      <c r="I13" s="14">
        <v>5600</v>
      </c>
      <c r="J13" s="15">
        <f t="shared" si="0"/>
        <v>7830</v>
      </c>
      <c r="K13" s="16">
        <f t="shared" si="1"/>
        <v>0.71519795657726692</v>
      </c>
      <c r="L13" s="17">
        <f t="shared" si="2"/>
        <v>-2230</v>
      </c>
    </row>
    <row r="14" spans="1:12" ht="21.75" customHeight="1">
      <c r="A14" s="18">
        <v>10</v>
      </c>
      <c r="B14" s="19">
        <v>46180</v>
      </c>
      <c r="C14" s="24" t="s">
        <v>24</v>
      </c>
      <c r="D14" s="23" t="s">
        <v>25</v>
      </c>
      <c r="E14" s="20" t="s">
        <v>23</v>
      </c>
      <c r="F14" s="21"/>
      <c r="G14" s="12">
        <f>IFERROR(VLOOKUP(D14,'[1]⚙ الإعدادات'!$B$4:$D$27,3,0),"")</f>
        <v>0</v>
      </c>
      <c r="H14" s="13">
        <v>7.25</v>
      </c>
      <c r="I14" s="14">
        <v>21700</v>
      </c>
      <c r="J14" s="15">
        <f t="shared" si="0"/>
        <v>0</v>
      </c>
      <c r="K14" s="16" t="str">
        <f t="shared" si="1"/>
        <v/>
      </c>
      <c r="L14" s="22">
        <f t="shared" si="2"/>
        <v>21700</v>
      </c>
    </row>
    <row r="15" spans="1:12" ht="21.75" customHeight="1">
      <c r="A15" s="6">
        <v>11</v>
      </c>
      <c r="B15" s="19">
        <v>46180</v>
      </c>
      <c r="C15" s="8" t="s">
        <v>29</v>
      </c>
      <c r="D15" s="9" t="s">
        <v>30</v>
      </c>
      <c r="E15" s="10" t="s">
        <v>19</v>
      </c>
      <c r="F15" s="11"/>
      <c r="G15" s="12">
        <v>0</v>
      </c>
      <c r="H15" s="25">
        <v>8</v>
      </c>
      <c r="I15" s="14">
        <v>2000</v>
      </c>
      <c r="J15" s="15">
        <f t="shared" si="0"/>
        <v>0</v>
      </c>
      <c r="K15" s="16" t="str">
        <f t="shared" si="1"/>
        <v/>
      </c>
      <c r="L15" s="17">
        <f t="shared" si="2"/>
        <v>2000</v>
      </c>
    </row>
    <row r="16" spans="1:12" ht="21.75" customHeight="1">
      <c r="A16" s="18">
        <v>12</v>
      </c>
      <c r="B16" s="19">
        <v>46180</v>
      </c>
      <c r="C16" s="24" t="s">
        <v>28</v>
      </c>
      <c r="D16" s="23" t="s">
        <v>31</v>
      </c>
      <c r="E16" s="20" t="s">
        <v>19</v>
      </c>
      <c r="F16" s="21"/>
      <c r="G16" s="12">
        <v>0</v>
      </c>
      <c r="H16" s="13">
        <v>8.75</v>
      </c>
      <c r="I16" s="14">
        <v>5000</v>
      </c>
      <c r="J16" s="15">
        <v>7000</v>
      </c>
      <c r="K16" s="16">
        <f t="shared" si="1"/>
        <v>0.7142857142857143</v>
      </c>
      <c r="L16" s="22">
        <f t="shared" si="2"/>
        <v>-2000</v>
      </c>
    </row>
    <row r="17" spans="1:12" ht="21.75" customHeight="1">
      <c r="A17" s="6">
        <v>13</v>
      </c>
      <c r="B17" s="7">
        <v>46181</v>
      </c>
      <c r="C17" s="8" t="s">
        <v>29</v>
      </c>
      <c r="D17" s="9" t="s">
        <v>30</v>
      </c>
      <c r="E17" s="10" t="s">
        <v>19</v>
      </c>
      <c r="F17" s="11"/>
      <c r="G17" s="12">
        <v>0</v>
      </c>
      <c r="H17" s="25">
        <v>8</v>
      </c>
      <c r="I17" s="14">
        <v>2000</v>
      </c>
      <c r="J17" s="15">
        <f t="shared" si="0"/>
        <v>0</v>
      </c>
      <c r="K17" s="16" t="str">
        <f t="shared" si="1"/>
        <v/>
      </c>
      <c r="L17" s="17">
        <f t="shared" si="2"/>
        <v>2000</v>
      </c>
    </row>
    <row r="18" spans="1:12" ht="21.75" customHeight="1">
      <c r="A18" s="18">
        <v>14</v>
      </c>
      <c r="B18" s="19">
        <v>46182</v>
      </c>
      <c r="C18" s="24" t="s">
        <v>17</v>
      </c>
      <c r="D18" s="23" t="s">
        <v>18</v>
      </c>
      <c r="E18" s="20" t="s">
        <v>19</v>
      </c>
      <c r="F18" s="21"/>
      <c r="G18" s="12">
        <f>IFERROR(VLOOKUP(D18,'[1]⚙ الإعدادات'!$B$4:$D$27,3,0),"")</f>
        <v>360</v>
      </c>
      <c r="H18" s="25">
        <v>4</v>
      </c>
      <c r="I18" s="14">
        <v>1260</v>
      </c>
      <c r="J18" s="15">
        <f t="shared" si="0"/>
        <v>1440</v>
      </c>
      <c r="K18" s="16">
        <f t="shared" si="1"/>
        <v>0.875</v>
      </c>
      <c r="L18" s="22">
        <f t="shared" si="2"/>
        <v>-180</v>
      </c>
    </row>
    <row r="19" spans="1:12" ht="21.75" customHeight="1">
      <c r="A19" s="6">
        <v>15</v>
      </c>
      <c r="B19" s="7">
        <v>46183</v>
      </c>
      <c r="C19" s="8" t="s">
        <v>17</v>
      </c>
      <c r="D19" s="9" t="s">
        <v>18</v>
      </c>
      <c r="E19" s="10" t="s">
        <v>19</v>
      </c>
      <c r="F19" s="11"/>
      <c r="G19" s="12">
        <f>IFERROR(VLOOKUP(D19,'[1]⚙ الإعدادات'!$B$4:$D$27,3,0),"")</f>
        <v>360</v>
      </c>
      <c r="H19" s="25">
        <v>4</v>
      </c>
      <c r="I19" s="14">
        <v>1260</v>
      </c>
      <c r="J19" s="15">
        <f t="shared" si="0"/>
        <v>1440</v>
      </c>
      <c r="K19" s="16">
        <f t="shared" si="1"/>
        <v>0.875</v>
      </c>
      <c r="L19" s="17">
        <f t="shared" si="2"/>
        <v>-180</v>
      </c>
    </row>
    <row r="20" spans="1:12" ht="21.75" customHeight="1">
      <c r="A20" s="18">
        <v>16</v>
      </c>
      <c r="B20" s="19">
        <v>46184</v>
      </c>
      <c r="C20" s="24" t="s">
        <v>17</v>
      </c>
      <c r="D20" s="23" t="s">
        <v>18</v>
      </c>
      <c r="E20" s="20" t="s">
        <v>19</v>
      </c>
      <c r="F20" s="21"/>
      <c r="G20" s="12">
        <f>IFERROR(VLOOKUP(D20,'[1]⚙ الإعدادات'!$B$4:$D$27,3,0),"")</f>
        <v>360</v>
      </c>
      <c r="H20" s="25">
        <v>4</v>
      </c>
      <c r="I20" s="14">
        <v>1260</v>
      </c>
      <c r="J20" s="15">
        <f t="shared" si="0"/>
        <v>1440</v>
      </c>
      <c r="K20" s="16">
        <f t="shared" si="1"/>
        <v>0.875</v>
      </c>
      <c r="L20" s="22">
        <f t="shared" si="2"/>
        <v>-180</v>
      </c>
    </row>
    <row r="21" spans="1:12" ht="21.75" customHeight="1">
      <c r="A21" s="6">
        <v>17</v>
      </c>
      <c r="B21" s="7"/>
      <c r="C21" s="8"/>
      <c r="D21" s="9"/>
      <c r="E21" s="10"/>
      <c r="F21" s="11"/>
      <c r="G21" s="12" t="str">
        <f>IFERROR(VLOOKUP(D21,'[1]⚙ الإعدادات'!$B$4:$D$27,3,0),"")</f>
        <v/>
      </c>
      <c r="H21" s="25"/>
      <c r="I21" s="14"/>
      <c r="J21" s="15" t="str">
        <f t="shared" si="0"/>
        <v/>
      </c>
      <c r="K21" s="16" t="str">
        <f t="shared" si="1"/>
        <v/>
      </c>
      <c r="L21" s="17" t="str">
        <f t="shared" si="2"/>
        <v/>
      </c>
    </row>
    <row r="22" spans="1:12" ht="21.75" customHeight="1">
      <c r="A22" s="18">
        <v>18</v>
      </c>
      <c r="B22" s="19"/>
      <c r="C22" s="24"/>
      <c r="D22" s="23"/>
      <c r="E22" s="20"/>
      <c r="F22" s="21"/>
      <c r="G22" s="12" t="str">
        <f>IFERROR(VLOOKUP(D22,'[1]⚙ الإعدادات'!$B$4:$D$27,3,0),"")</f>
        <v/>
      </c>
      <c r="H22" s="25"/>
      <c r="I22" s="14"/>
      <c r="J22" s="15" t="str">
        <f t="shared" si="0"/>
        <v/>
      </c>
      <c r="K22" s="16" t="str">
        <f t="shared" si="1"/>
        <v/>
      </c>
      <c r="L22" s="22" t="str">
        <f t="shared" si="2"/>
        <v/>
      </c>
    </row>
    <row r="23" spans="1:12" ht="21.75" customHeight="1">
      <c r="A23" s="6">
        <v>19</v>
      </c>
      <c r="B23" s="7"/>
      <c r="C23" s="8"/>
      <c r="D23" s="9"/>
      <c r="E23" s="10"/>
      <c r="F23" s="11"/>
      <c r="G23" s="12" t="str">
        <f>IFERROR(VLOOKUP(D23,'[1]⚙ الإعدادات'!$B$4:$D$27,3,0),"")</f>
        <v/>
      </c>
      <c r="H23" s="25"/>
      <c r="I23" s="14"/>
      <c r="J23" s="15" t="str">
        <f t="shared" si="0"/>
        <v/>
      </c>
      <c r="K23" s="16" t="str">
        <f t="shared" si="1"/>
        <v/>
      </c>
      <c r="L23" s="17" t="str">
        <f t="shared" si="2"/>
        <v/>
      </c>
    </row>
    <row r="24" spans="1:12" ht="21.75" customHeight="1">
      <c r="A24" s="18">
        <v>20</v>
      </c>
      <c r="B24" s="19"/>
      <c r="C24" s="24"/>
      <c r="D24" s="23"/>
      <c r="E24" s="20"/>
      <c r="F24" s="21"/>
      <c r="G24" s="12" t="str">
        <f>IFERROR(VLOOKUP(D24,'[1]⚙ الإعدادات'!$B$4:$D$27,3,0),"")</f>
        <v/>
      </c>
      <c r="H24" s="25"/>
      <c r="I24" s="14"/>
      <c r="J24" s="15" t="str">
        <f t="shared" si="0"/>
        <v/>
      </c>
      <c r="K24" s="16" t="str">
        <f t="shared" si="1"/>
        <v/>
      </c>
      <c r="L24" s="22" t="str">
        <f t="shared" si="2"/>
        <v/>
      </c>
    </row>
    <row r="25" spans="1:12" ht="21.75" customHeight="1">
      <c r="A25" s="6">
        <v>21</v>
      </c>
      <c r="B25" s="7"/>
      <c r="C25" s="8"/>
      <c r="D25" s="9"/>
      <c r="E25" s="10"/>
      <c r="F25" s="11"/>
      <c r="G25" s="12" t="str">
        <f>IFERROR(VLOOKUP(D25,'[1]⚙ الإعدادات'!$B$4:$D$27,3,0),"")</f>
        <v/>
      </c>
      <c r="H25" s="25"/>
      <c r="I25" s="14"/>
      <c r="J25" s="15" t="str">
        <f t="shared" si="0"/>
        <v/>
      </c>
      <c r="K25" s="16" t="str">
        <f t="shared" si="1"/>
        <v/>
      </c>
      <c r="L25" s="17" t="str">
        <f t="shared" si="2"/>
        <v/>
      </c>
    </row>
    <row r="26" spans="1:12" ht="21.75" customHeight="1">
      <c r="A26" s="18">
        <v>22</v>
      </c>
      <c r="B26" s="19"/>
      <c r="C26" s="24"/>
      <c r="D26" s="23"/>
      <c r="E26" s="20"/>
      <c r="F26" s="21"/>
      <c r="G26" s="12" t="str">
        <f>IFERROR(VLOOKUP(D26,'[1]⚙ الإعدادات'!$B$4:$D$27,3,0),"")</f>
        <v/>
      </c>
      <c r="H26" s="25"/>
      <c r="I26" s="14"/>
      <c r="J26" s="15" t="str">
        <f t="shared" si="0"/>
        <v/>
      </c>
      <c r="K26" s="16" t="str">
        <f t="shared" si="1"/>
        <v/>
      </c>
      <c r="L26" s="22" t="str">
        <f t="shared" si="2"/>
        <v/>
      </c>
    </row>
    <row r="27" spans="1:12" ht="21.75" customHeight="1">
      <c r="A27" s="6">
        <v>23</v>
      </c>
      <c r="B27" s="7"/>
      <c r="C27" s="8"/>
      <c r="D27" s="9"/>
      <c r="E27" s="10"/>
      <c r="F27" s="11"/>
      <c r="G27" s="12" t="str">
        <f>IFERROR(VLOOKUP(D27,'[1]⚙ الإعدادات'!$B$4:$D$27,3,0),"")</f>
        <v/>
      </c>
      <c r="H27" s="25"/>
      <c r="I27" s="14"/>
      <c r="J27" s="15" t="str">
        <f t="shared" si="0"/>
        <v/>
      </c>
      <c r="K27" s="16" t="str">
        <f t="shared" si="1"/>
        <v/>
      </c>
      <c r="L27" s="17" t="str">
        <f t="shared" si="2"/>
        <v/>
      </c>
    </row>
    <row r="28" spans="1:12" ht="21.75" customHeight="1">
      <c r="A28" s="18">
        <v>24</v>
      </c>
      <c r="B28" s="19"/>
      <c r="C28" s="24"/>
      <c r="D28" s="23"/>
      <c r="E28" s="20"/>
      <c r="F28" s="21"/>
      <c r="G28" s="12" t="str">
        <f>IFERROR(VLOOKUP(D28,'[1]⚙ الإعدادات'!$B$4:$D$27,3,0),"")</f>
        <v/>
      </c>
      <c r="H28" s="25"/>
      <c r="I28" s="14"/>
      <c r="J28" s="15" t="str">
        <f t="shared" si="0"/>
        <v/>
      </c>
      <c r="K28" s="16" t="str">
        <f t="shared" si="1"/>
        <v/>
      </c>
      <c r="L28" s="22" t="str">
        <f t="shared" si="2"/>
        <v/>
      </c>
    </row>
    <row r="29" spans="1:12" ht="21.75" customHeight="1">
      <c r="A29" s="6">
        <v>25</v>
      </c>
      <c r="B29" s="7"/>
      <c r="C29" s="8"/>
      <c r="D29" s="9"/>
      <c r="E29" s="10"/>
      <c r="F29" s="11"/>
      <c r="G29" s="12" t="str">
        <f>IFERROR(VLOOKUP(D29,'[1]⚙ الإعدادات'!$B$4:$D$27,3,0),"")</f>
        <v/>
      </c>
      <c r="H29" s="25"/>
      <c r="I29" s="14"/>
      <c r="J29" s="15" t="str">
        <f t="shared" si="0"/>
        <v/>
      </c>
      <c r="K29" s="16" t="str">
        <f t="shared" si="1"/>
        <v/>
      </c>
      <c r="L29" s="17" t="str">
        <f t="shared" si="2"/>
        <v/>
      </c>
    </row>
    <row r="30" spans="1:12" ht="21.75" customHeight="1">
      <c r="A30" s="18">
        <v>26</v>
      </c>
      <c r="B30" s="19"/>
      <c r="C30" s="24"/>
      <c r="D30" s="23"/>
      <c r="E30" s="20"/>
      <c r="F30" s="21"/>
      <c r="G30" s="12" t="str">
        <f>IFERROR(VLOOKUP(D30,'[1]⚙ الإعدادات'!$B$4:$D$27,3,0),"")</f>
        <v/>
      </c>
      <c r="H30" s="25"/>
      <c r="I30" s="14"/>
      <c r="J30" s="15" t="str">
        <f t="shared" si="0"/>
        <v/>
      </c>
      <c r="K30" s="16" t="str">
        <f t="shared" si="1"/>
        <v/>
      </c>
      <c r="L30" s="22" t="str">
        <f t="shared" si="2"/>
        <v/>
      </c>
    </row>
    <row r="31" spans="1:12" ht="21.75" customHeight="1">
      <c r="A31" s="6">
        <v>27</v>
      </c>
      <c r="B31" s="7"/>
      <c r="C31" s="8"/>
      <c r="D31" s="9"/>
      <c r="E31" s="10"/>
      <c r="F31" s="11"/>
      <c r="G31" s="12" t="str">
        <f>IFERROR(VLOOKUP(D31,'[1]⚙ الإعدادات'!$B$4:$D$27,3,0),"")</f>
        <v/>
      </c>
      <c r="H31" s="25"/>
      <c r="I31" s="14"/>
      <c r="J31" s="15" t="str">
        <f t="shared" si="0"/>
        <v/>
      </c>
      <c r="K31" s="16" t="str">
        <f t="shared" si="1"/>
        <v/>
      </c>
      <c r="L31" s="17" t="str">
        <f t="shared" si="2"/>
        <v/>
      </c>
    </row>
    <row r="32" spans="1:12" ht="21.75" customHeight="1">
      <c r="A32" s="18">
        <v>28</v>
      </c>
      <c r="B32" s="19"/>
      <c r="C32" s="24"/>
      <c r="D32" s="23"/>
      <c r="E32" s="20"/>
      <c r="F32" s="21"/>
      <c r="G32" s="12" t="str">
        <f>IFERROR(VLOOKUP(D32,'[1]⚙ الإعدادات'!$B$4:$D$27,3,0),"")</f>
        <v/>
      </c>
      <c r="H32" s="25"/>
      <c r="I32" s="14"/>
      <c r="J32" s="15" t="str">
        <f t="shared" si="0"/>
        <v/>
      </c>
      <c r="K32" s="16" t="str">
        <f t="shared" si="1"/>
        <v/>
      </c>
      <c r="L32" s="22" t="str">
        <f t="shared" si="2"/>
        <v/>
      </c>
    </row>
    <row r="33" spans="1:12" ht="21.75" customHeight="1">
      <c r="A33" s="6">
        <v>29</v>
      </c>
      <c r="B33" s="7"/>
      <c r="C33" s="8"/>
      <c r="D33" s="9"/>
      <c r="E33" s="10"/>
      <c r="F33" s="11"/>
      <c r="G33" s="12" t="str">
        <f>IFERROR(VLOOKUP(D33,'[1]⚙ الإعدادات'!$B$4:$D$27,3,0),"")</f>
        <v/>
      </c>
      <c r="H33" s="25"/>
      <c r="I33" s="14"/>
      <c r="J33" s="15" t="str">
        <f t="shared" si="0"/>
        <v/>
      </c>
      <c r="K33" s="16" t="str">
        <f t="shared" si="1"/>
        <v/>
      </c>
      <c r="L33" s="17" t="str">
        <f t="shared" si="2"/>
        <v/>
      </c>
    </row>
    <row r="34" spans="1:12" ht="21.75" customHeight="1">
      <c r="A34" s="18">
        <v>30</v>
      </c>
      <c r="B34" s="19"/>
      <c r="C34" s="24"/>
      <c r="D34" s="23"/>
      <c r="E34" s="20"/>
      <c r="F34" s="21"/>
      <c r="G34" s="12" t="str">
        <f>IFERROR(VLOOKUP(D34,'[1]⚙ الإعدادات'!$B$4:$D$27,3,0),"")</f>
        <v/>
      </c>
      <c r="H34" s="25"/>
      <c r="I34" s="14"/>
      <c r="J34" s="15" t="str">
        <f t="shared" si="0"/>
        <v/>
      </c>
      <c r="K34" s="16" t="str">
        <f t="shared" si="1"/>
        <v/>
      </c>
      <c r="L34" s="22" t="str">
        <f t="shared" si="2"/>
        <v/>
      </c>
    </row>
    <row r="35" spans="1:12" ht="21.75" customHeight="1">
      <c r="A35" s="6">
        <v>31</v>
      </c>
      <c r="B35" s="7"/>
      <c r="C35" s="8"/>
      <c r="D35" s="9"/>
      <c r="E35" s="10"/>
      <c r="F35" s="11"/>
      <c r="G35" s="12" t="str">
        <f>IFERROR(VLOOKUP(D35,'[1]⚙ الإعدادات'!$B$4:$D$27,3,0),"")</f>
        <v/>
      </c>
      <c r="H35" s="25"/>
      <c r="I35" s="14"/>
      <c r="J35" s="15" t="str">
        <f t="shared" si="0"/>
        <v/>
      </c>
      <c r="K35" s="16" t="str">
        <f t="shared" si="1"/>
        <v/>
      </c>
      <c r="L35" s="17" t="str">
        <f t="shared" si="2"/>
        <v/>
      </c>
    </row>
    <row r="36" spans="1:12" ht="21.75" customHeight="1">
      <c r="A36" s="18">
        <v>32</v>
      </c>
      <c r="B36" s="19"/>
      <c r="C36" s="24"/>
      <c r="D36" s="23"/>
      <c r="E36" s="20"/>
      <c r="F36" s="21"/>
      <c r="G36" s="12" t="str">
        <f>IFERROR(VLOOKUP(D36,'[1]⚙ الإعدادات'!$B$4:$D$27,3,0),"")</f>
        <v/>
      </c>
      <c r="H36" s="25"/>
      <c r="I36" s="14"/>
      <c r="J36" s="15" t="str">
        <f t="shared" si="0"/>
        <v/>
      </c>
      <c r="K36" s="16" t="str">
        <f t="shared" si="1"/>
        <v/>
      </c>
      <c r="L36" s="22" t="str">
        <f t="shared" si="2"/>
        <v/>
      </c>
    </row>
    <row r="37" spans="1:12" ht="21.75" customHeight="1">
      <c r="A37" s="6">
        <v>33</v>
      </c>
      <c r="B37" s="7"/>
      <c r="C37" s="8"/>
      <c r="D37" s="9"/>
      <c r="E37" s="10"/>
      <c r="F37" s="11"/>
      <c r="G37" s="12" t="str">
        <f>IFERROR(VLOOKUP(D37,'[1]⚙ الإعدادات'!$B$4:$D$27,3,0),"")</f>
        <v/>
      </c>
      <c r="H37" s="25"/>
      <c r="I37" s="14"/>
      <c r="J37" s="15" t="str">
        <f t="shared" si="0"/>
        <v/>
      </c>
      <c r="K37" s="16" t="str">
        <f t="shared" si="1"/>
        <v/>
      </c>
      <c r="L37" s="17" t="str">
        <f t="shared" si="2"/>
        <v/>
      </c>
    </row>
    <row r="38" spans="1:12" ht="21.75" customHeight="1">
      <c r="A38" s="18">
        <v>34</v>
      </c>
      <c r="B38" s="19"/>
      <c r="C38" s="24"/>
      <c r="D38" s="23"/>
      <c r="E38" s="20"/>
      <c r="F38" s="21"/>
      <c r="G38" s="12" t="str">
        <f>IFERROR(VLOOKUP(D38,'[1]⚙ الإعدادات'!$B$4:$D$27,3,0),"")</f>
        <v/>
      </c>
      <c r="H38" s="25"/>
      <c r="I38" s="14"/>
      <c r="J38" s="15" t="str">
        <f t="shared" si="0"/>
        <v/>
      </c>
      <c r="K38" s="16" t="str">
        <f t="shared" si="1"/>
        <v/>
      </c>
      <c r="L38" s="22" t="str">
        <f t="shared" si="2"/>
        <v/>
      </c>
    </row>
    <row r="39" spans="1:12" ht="21.75" customHeight="1">
      <c r="A39" s="6">
        <v>35</v>
      </c>
      <c r="B39" s="7"/>
      <c r="C39" s="8"/>
      <c r="D39" s="9"/>
      <c r="E39" s="10"/>
      <c r="F39" s="11"/>
      <c r="G39" s="12" t="str">
        <f>IFERROR(VLOOKUP(D39,'[1]⚙ الإعدادات'!$B$4:$D$27,3,0),"")</f>
        <v/>
      </c>
      <c r="H39" s="25"/>
      <c r="I39" s="14"/>
      <c r="J39" s="15" t="str">
        <f t="shared" si="0"/>
        <v/>
      </c>
      <c r="K39" s="16" t="str">
        <f t="shared" si="1"/>
        <v/>
      </c>
      <c r="L39" s="17" t="str">
        <f t="shared" si="2"/>
        <v/>
      </c>
    </row>
    <row r="40" spans="1:12" ht="21.75" customHeight="1">
      <c r="A40" s="18">
        <v>36</v>
      </c>
      <c r="B40" s="19"/>
      <c r="C40" s="24"/>
      <c r="D40" s="23"/>
      <c r="E40" s="20"/>
      <c r="F40" s="21"/>
      <c r="G40" s="12" t="str">
        <f>IFERROR(VLOOKUP(D40,'[1]⚙ الإعدادات'!$B$4:$D$27,3,0),"")</f>
        <v/>
      </c>
      <c r="H40" s="25"/>
      <c r="I40" s="14"/>
      <c r="J40" s="15" t="str">
        <f t="shared" si="0"/>
        <v/>
      </c>
      <c r="K40" s="16" t="str">
        <f t="shared" si="1"/>
        <v/>
      </c>
      <c r="L40" s="22" t="str">
        <f t="shared" si="2"/>
        <v/>
      </c>
    </row>
    <row r="41" spans="1:12" ht="21.75" customHeight="1">
      <c r="A41" s="6">
        <v>37</v>
      </c>
      <c r="B41" s="7"/>
      <c r="C41" s="8"/>
      <c r="D41" s="9"/>
      <c r="E41" s="10"/>
      <c r="F41" s="11"/>
      <c r="G41" s="12" t="str">
        <f>IFERROR(VLOOKUP(D41,'[1]⚙ الإعدادات'!$B$4:$D$27,3,0),"")</f>
        <v/>
      </c>
      <c r="H41" s="25"/>
      <c r="I41" s="14"/>
      <c r="J41" s="15" t="str">
        <f t="shared" si="0"/>
        <v/>
      </c>
      <c r="K41" s="16" t="str">
        <f t="shared" si="1"/>
        <v/>
      </c>
      <c r="L41" s="17" t="str">
        <f t="shared" si="2"/>
        <v/>
      </c>
    </row>
    <row r="42" spans="1:12" ht="21.75" customHeight="1">
      <c r="A42" s="18">
        <v>38</v>
      </c>
      <c r="B42" s="19"/>
      <c r="C42" s="24"/>
      <c r="D42" s="23"/>
      <c r="E42" s="20"/>
      <c r="F42" s="21"/>
      <c r="G42" s="12" t="str">
        <f>IFERROR(VLOOKUP(D42,'[1]⚙ الإعدادات'!$B$4:$D$27,3,0),"")</f>
        <v/>
      </c>
      <c r="H42" s="25"/>
      <c r="I42" s="14"/>
      <c r="J42" s="15" t="str">
        <f t="shared" si="0"/>
        <v/>
      </c>
      <c r="K42" s="16" t="str">
        <f t="shared" si="1"/>
        <v/>
      </c>
      <c r="L42" s="22" t="str">
        <f t="shared" si="2"/>
        <v/>
      </c>
    </row>
    <row r="43" spans="1:12" ht="21.75" customHeight="1">
      <c r="A43" s="6">
        <v>39</v>
      </c>
      <c r="B43" s="7"/>
      <c r="C43" s="8"/>
      <c r="D43" s="9"/>
      <c r="E43" s="10"/>
      <c r="F43" s="11"/>
      <c r="G43" s="12" t="str">
        <f>IFERROR(VLOOKUP(D43,'[1]⚙ الإعدادات'!$B$4:$D$27,3,0),"")</f>
        <v/>
      </c>
      <c r="H43" s="25"/>
      <c r="I43" s="14"/>
      <c r="J43" s="15" t="str">
        <f t="shared" si="0"/>
        <v/>
      </c>
      <c r="K43" s="16" t="str">
        <f t="shared" si="1"/>
        <v/>
      </c>
      <c r="L43" s="17" t="str">
        <f t="shared" si="2"/>
        <v/>
      </c>
    </row>
    <row r="44" spans="1:12" ht="21.75" customHeight="1">
      <c r="A44" s="18">
        <v>40</v>
      </c>
      <c r="B44" s="19"/>
      <c r="C44" s="24"/>
      <c r="D44" s="23"/>
      <c r="E44" s="20"/>
      <c r="F44" s="21"/>
      <c r="G44" s="12" t="str">
        <f>IFERROR(VLOOKUP(D44,'[1]⚙ الإعدادات'!$B$4:$D$27,3,0),"")</f>
        <v/>
      </c>
      <c r="H44" s="25"/>
      <c r="I44" s="14"/>
      <c r="J44" s="15" t="str">
        <f t="shared" si="0"/>
        <v/>
      </c>
      <c r="K44" s="16" t="str">
        <f t="shared" si="1"/>
        <v/>
      </c>
      <c r="L44" s="22" t="str">
        <f t="shared" si="2"/>
        <v/>
      </c>
    </row>
    <row r="45" spans="1:12" ht="21.75" customHeight="1">
      <c r="A45" s="6">
        <v>41</v>
      </c>
      <c r="B45" s="7"/>
      <c r="C45" s="8"/>
      <c r="D45" s="9"/>
      <c r="E45" s="10"/>
      <c r="F45" s="11"/>
      <c r="G45" s="12" t="str">
        <f>IFERROR(VLOOKUP(D45,'[1]⚙ الإعدادات'!$B$4:$D$27,3,0),"")</f>
        <v/>
      </c>
      <c r="H45" s="25"/>
      <c r="I45" s="14"/>
      <c r="J45" s="15" t="str">
        <f t="shared" si="0"/>
        <v/>
      </c>
      <c r="K45" s="16" t="str">
        <f t="shared" si="1"/>
        <v/>
      </c>
      <c r="L45" s="17" t="str">
        <f t="shared" si="2"/>
        <v/>
      </c>
    </row>
    <row r="46" spans="1:12" ht="21.75" customHeight="1">
      <c r="A46" s="18">
        <v>42</v>
      </c>
      <c r="B46" s="19"/>
      <c r="C46" s="24"/>
      <c r="D46" s="23"/>
      <c r="E46" s="20"/>
      <c r="F46" s="21"/>
      <c r="G46" s="12" t="str">
        <f>IFERROR(VLOOKUP(D46,'[1]⚙ الإعدادات'!$B$4:$D$27,3,0),"")</f>
        <v/>
      </c>
      <c r="H46" s="25"/>
      <c r="I46" s="14"/>
      <c r="J46" s="15" t="str">
        <f t="shared" si="0"/>
        <v/>
      </c>
      <c r="K46" s="16" t="str">
        <f t="shared" si="1"/>
        <v/>
      </c>
      <c r="L46" s="22" t="str">
        <f t="shared" si="2"/>
        <v/>
      </c>
    </row>
    <row r="47" spans="1:12" ht="21.75" customHeight="1">
      <c r="A47" s="6">
        <v>43</v>
      </c>
      <c r="B47" s="7"/>
      <c r="C47" s="8"/>
      <c r="D47" s="9"/>
      <c r="E47" s="10"/>
      <c r="F47" s="11"/>
      <c r="G47" s="12" t="str">
        <f>IFERROR(VLOOKUP(D47,'[1]⚙ الإعدادات'!$B$4:$D$27,3,0),"")</f>
        <v/>
      </c>
      <c r="H47" s="25"/>
      <c r="I47" s="14"/>
      <c r="J47" s="15" t="str">
        <f t="shared" si="0"/>
        <v/>
      </c>
      <c r="K47" s="16" t="str">
        <f t="shared" si="1"/>
        <v/>
      </c>
      <c r="L47" s="17" t="str">
        <f t="shared" si="2"/>
        <v/>
      </c>
    </row>
    <row r="48" spans="1:12" ht="21.75" customHeight="1">
      <c r="A48" s="18">
        <v>44</v>
      </c>
      <c r="B48" s="19"/>
      <c r="C48" s="24"/>
      <c r="D48" s="23"/>
      <c r="E48" s="20"/>
      <c r="F48" s="21"/>
      <c r="G48" s="12" t="str">
        <f>IFERROR(VLOOKUP(D48,'[1]⚙ الإعدادات'!$B$4:$D$27,3,0),"")</f>
        <v/>
      </c>
      <c r="H48" s="25"/>
      <c r="I48" s="14"/>
      <c r="J48" s="15" t="str">
        <f t="shared" si="0"/>
        <v/>
      </c>
      <c r="K48" s="16" t="str">
        <f t="shared" si="1"/>
        <v/>
      </c>
      <c r="L48" s="22" t="str">
        <f t="shared" si="2"/>
        <v/>
      </c>
    </row>
    <row r="49" spans="1:12" ht="21.75" customHeight="1">
      <c r="A49" s="6">
        <v>45</v>
      </c>
      <c r="B49" s="7"/>
      <c r="C49" s="8"/>
      <c r="D49" s="9"/>
      <c r="E49" s="10"/>
      <c r="F49" s="11"/>
      <c r="G49" s="12" t="str">
        <f>IFERROR(VLOOKUP(D49,'[1]⚙ الإعدادات'!$B$4:$D$27,3,0),"")</f>
        <v/>
      </c>
      <c r="H49" s="25"/>
      <c r="I49" s="14"/>
      <c r="J49" s="15" t="str">
        <f t="shared" si="0"/>
        <v/>
      </c>
      <c r="K49" s="16" t="str">
        <f t="shared" si="1"/>
        <v/>
      </c>
      <c r="L49" s="17" t="str">
        <f t="shared" si="2"/>
        <v/>
      </c>
    </row>
    <row r="50" spans="1:12" ht="21.75" customHeight="1">
      <c r="A50" s="18">
        <v>46</v>
      </c>
      <c r="B50" s="19"/>
      <c r="C50" s="24"/>
      <c r="D50" s="23"/>
      <c r="E50" s="20"/>
      <c r="F50" s="21"/>
      <c r="G50" s="12" t="str">
        <f>IFERROR(VLOOKUP(D50,'[1]⚙ الإعدادات'!$B$4:$D$27,3,0),"")</f>
        <v/>
      </c>
      <c r="H50" s="25"/>
      <c r="I50" s="14"/>
      <c r="J50" s="15" t="str">
        <f t="shared" si="0"/>
        <v/>
      </c>
      <c r="K50" s="16" t="str">
        <f t="shared" si="1"/>
        <v/>
      </c>
      <c r="L50" s="22" t="str">
        <f t="shared" si="2"/>
        <v/>
      </c>
    </row>
    <row r="51" spans="1:12" ht="21.75" customHeight="1">
      <c r="A51" s="6">
        <v>47</v>
      </c>
      <c r="B51" s="7"/>
      <c r="C51" s="8"/>
      <c r="D51" s="9"/>
      <c r="E51" s="10"/>
      <c r="F51" s="11"/>
      <c r="G51" s="12" t="str">
        <f>IFERROR(VLOOKUP(D51,'[1]⚙ الإعدادات'!$B$4:$D$27,3,0),"")</f>
        <v/>
      </c>
      <c r="H51" s="25"/>
      <c r="I51" s="14"/>
      <c r="J51" s="15" t="str">
        <f t="shared" si="0"/>
        <v/>
      </c>
      <c r="K51" s="16" t="str">
        <f t="shared" si="1"/>
        <v/>
      </c>
      <c r="L51" s="17" t="str">
        <f t="shared" si="2"/>
        <v/>
      </c>
    </row>
    <row r="52" spans="1:12" ht="21.75" customHeight="1">
      <c r="A52" s="18">
        <v>48</v>
      </c>
      <c r="B52" s="19"/>
      <c r="C52" s="24"/>
      <c r="D52" s="23"/>
      <c r="E52" s="20"/>
      <c r="F52" s="21"/>
      <c r="G52" s="12" t="str">
        <f>IFERROR(VLOOKUP(D52,'[1]⚙ الإعدادات'!$B$4:$D$27,3,0),"")</f>
        <v/>
      </c>
      <c r="H52" s="25"/>
      <c r="I52" s="14"/>
      <c r="J52" s="15" t="str">
        <f t="shared" si="0"/>
        <v/>
      </c>
      <c r="K52" s="16" t="str">
        <f t="shared" si="1"/>
        <v/>
      </c>
      <c r="L52" s="22" t="str">
        <f t="shared" si="2"/>
        <v/>
      </c>
    </row>
    <row r="53" spans="1:12" ht="21.75" customHeight="1">
      <c r="A53" s="6">
        <v>49</v>
      </c>
      <c r="B53" s="7"/>
      <c r="C53" s="8"/>
      <c r="D53" s="9"/>
      <c r="E53" s="10"/>
      <c r="F53" s="11"/>
      <c r="G53" s="12" t="str">
        <f>IFERROR(VLOOKUP(D53,'[1]⚙ الإعدادات'!$B$4:$D$27,3,0),"")</f>
        <v/>
      </c>
      <c r="H53" s="25"/>
      <c r="I53" s="14"/>
      <c r="J53" s="15" t="str">
        <f t="shared" si="0"/>
        <v/>
      </c>
      <c r="K53" s="16" t="str">
        <f t="shared" si="1"/>
        <v/>
      </c>
      <c r="L53" s="17" t="str">
        <f t="shared" si="2"/>
        <v/>
      </c>
    </row>
    <row r="54" spans="1:12" ht="21.75" customHeight="1">
      <c r="A54" s="18">
        <v>50</v>
      </c>
      <c r="B54" s="19"/>
      <c r="C54" s="24"/>
      <c r="D54" s="23"/>
      <c r="E54" s="20"/>
      <c r="F54" s="21"/>
      <c r="G54" s="12" t="str">
        <f>IFERROR(VLOOKUP(D54,'[1]⚙ الإعدادات'!$B$4:$D$27,3,0),"")</f>
        <v/>
      </c>
      <c r="H54" s="25"/>
      <c r="I54" s="14"/>
      <c r="J54" s="15" t="str">
        <f t="shared" si="0"/>
        <v/>
      </c>
      <c r="K54" s="16" t="str">
        <f t="shared" si="1"/>
        <v/>
      </c>
      <c r="L54" s="22" t="str">
        <f t="shared" si="2"/>
        <v/>
      </c>
    </row>
    <row r="55" spans="1:12" ht="21.75" customHeight="1">
      <c r="A55" s="6">
        <v>51</v>
      </c>
      <c r="B55" s="7"/>
      <c r="C55" s="8"/>
      <c r="D55" s="9"/>
      <c r="E55" s="10"/>
      <c r="F55" s="11"/>
      <c r="G55" s="12" t="str">
        <f>IFERROR(VLOOKUP(D55,'[1]⚙ الإعدادات'!$B$4:$D$27,3,0),"")</f>
        <v/>
      </c>
      <c r="H55" s="25"/>
      <c r="I55" s="14"/>
      <c r="J55" s="15" t="str">
        <f t="shared" si="0"/>
        <v/>
      </c>
      <c r="K55" s="16" t="str">
        <f t="shared" si="1"/>
        <v/>
      </c>
      <c r="L55" s="17" t="str">
        <f t="shared" si="2"/>
        <v/>
      </c>
    </row>
    <row r="56" spans="1:12" ht="21.75" customHeight="1">
      <c r="A56" s="18">
        <v>52</v>
      </c>
      <c r="B56" s="19"/>
      <c r="C56" s="24"/>
      <c r="D56" s="23"/>
      <c r="E56" s="20"/>
      <c r="F56" s="21"/>
      <c r="G56" s="12" t="str">
        <f>IFERROR(VLOOKUP(D56,'[1]⚙ الإعدادات'!$B$4:$D$27,3,0),"")</f>
        <v/>
      </c>
      <c r="H56" s="25"/>
      <c r="I56" s="14"/>
      <c r="J56" s="15" t="str">
        <f t="shared" si="0"/>
        <v/>
      </c>
      <c r="K56" s="16" t="str">
        <f t="shared" si="1"/>
        <v/>
      </c>
      <c r="L56" s="22" t="str">
        <f t="shared" si="2"/>
        <v/>
      </c>
    </row>
    <row r="57" spans="1:12" ht="21.75" customHeight="1">
      <c r="A57" s="6">
        <v>53</v>
      </c>
      <c r="B57" s="7"/>
      <c r="C57" s="8"/>
      <c r="D57" s="9"/>
      <c r="E57" s="10"/>
      <c r="F57" s="11"/>
      <c r="G57" s="12" t="str">
        <f>IFERROR(VLOOKUP(D57,'[1]⚙ الإعدادات'!$B$4:$D$27,3,0),"")</f>
        <v/>
      </c>
      <c r="H57" s="25"/>
      <c r="I57" s="14"/>
      <c r="J57" s="15" t="str">
        <f t="shared" si="0"/>
        <v/>
      </c>
      <c r="K57" s="16" t="str">
        <f t="shared" si="1"/>
        <v/>
      </c>
      <c r="L57" s="17" t="str">
        <f t="shared" si="2"/>
        <v/>
      </c>
    </row>
    <row r="58" spans="1:12" ht="21.75" customHeight="1">
      <c r="A58" s="18">
        <v>54</v>
      </c>
      <c r="B58" s="19"/>
      <c r="C58" s="24"/>
      <c r="D58" s="23"/>
      <c r="E58" s="20"/>
      <c r="F58" s="21"/>
      <c r="G58" s="12" t="str">
        <f>IFERROR(VLOOKUP(D58,'[1]⚙ الإعدادات'!$B$4:$D$27,3,0),"")</f>
        <v/>
      </c>
      <c r="H58" s="25"/>
      <c r="I58" s="14"/>
      <c r="J58" s="15" t="str">
        <f t="shared" si="0"/>
        <v/>
      </c>
      <c r="K58" s="16" t="str">
        <f t="shared" si="1"/>
        <v/>
      </c>
      <c r="L58" s="22" t="str">
        <f t="shared" si="2"/>
        <v/>
      </c>
    </row>
    <row r="59" spans="1:12" ht="21.75" customHeight="1">
      <c r="A59" s="6">
        <v>55</v>
      </c>
      <c r="B59" s="7"/>
      <c r="C59" s="8"/>
      <c r="D59" s="9"/>
      <c r="E59" s="10"/>
      <c r="F59" s="11"/>
      <c r="G59" s="12" t="str">
        <f>IFERROR(VLOOKUP(D59,'[1]⚙ الإعدادات'!$B$4:$D$27,3,0),"")</f>
        <v/>
      </c>
      <c r="H59" s="25"/>
      <c r="I59" s="14"/>
      <c r="J59" s="15" t="str">
        <f t="shared" si="0"/>
        <v/>
      </c>
      <c r="K59" s="16" t="str">
        <f t="shared" si="1"/>
        <v/>
      </c>
      <c r="L59" s="17" t="str">
        <f t="shared" si="2"/>
        <v/>
      </c>
    </row>
    <row r="60" spans="1:12" ht="21.75" customHeight="1">
      <c r="A60" s="18">
        <v>56</v>
      </c>
      <c r="B60" s="19"/>
      <c r="C60" s="24"/>
      <c r="D60" s="23"/>
      <c r="E60" s="20"/>
      <c r="F60" s="21"/>
      <c r="G60" s="12" t="str">
        <f>IFERROR(VLOOKUP(D60,'[1]⚙ الإعدادات'!$B$4:$D$27,3,0),"")</f>
        <v/>
      </c>
      <c r="H60" s="25"/>
      <c r="I60" s="14"/>
      <c r="J60" s="15" t="str">
        <f t="shared" si="0"/>
        <v/>
      </c>
      <c r="K60" s="16" t="str">
        <f t="shared" si="1"/>
        <v/>
      </c>
      <c r="L60" s="22" t="str">
        <f t="shared" si="2"/>
        <v/>
      </c>
    </row>
    <row r="61" spans="1:12" ht="21.75" customHeight="1">
      <c r="A61" s="6">
        <v>57</v>
      </c>
      <c r="B61" s="7"/>
      <c r="C61" s="8"/>
      <c r="D61" s="9"/>
      <c r="E61" s="10"/>
      <c r="F61" s="11"/>
      <c r="G61" s="12" t="str">
        <f>IFERROR(VLOOKUP(D61,'[1]⚙ الإعدادات'!$B$4:$D$27,3,0),"")</f>
        <v/>
      </c>
      <c r="H61" s="25"/>
      <c r="I61" s="14"/>
      <c r="J61" s="15" t="str">
        <f t="shared" si="0"/>
        <v/>
      </c>
      <c r="K61" s="16" t="str">
        <f t="shared" si="1"/>
        <v/>
      </c>
      <c r="L61" s="17" t="str">
        <f t="shared" si="2"/>
        <v/>
      </c>
    </row>
    <row r="62" spans="1:12" ht="21.75" customHeight="1">
      <c r="A62" s="18">
        <v>58</v>
      </c>
      <c r="B62" s="19"/>
      <c r="C62" s="24"/>
      <c r="D62" s="23"/>
      <c r="E62" s="20"/>
      <c r="F62" s="21"/>
      <c r="G62" s="12" t="str">
        <f>IFERROR(VLOOKUP(D62,'[1]⚙ الإعدادات'!$B$4:$D$27,3,0),"")</f>
        <v/>
      </c>
      <c r="H62" s="25"/>
      <c r="I62" s="14"/>
      <c r="J62" s="15" t="str">
        <f t="shared" si="0"/>
        <v/>
      </c>
      <c r="K62" s="16" t="str">
        <f t="shared" si="1"/>
        <v/>
      </c>
      <c r="L62" s="22" t="str">
        <f t="shared" si="2"/>
        <v/>
      </c>
    </row>
    <row r="63" spans="1:12" ht="21.75" customHeight="1">
      <c r="A63" s="6">
        <v>59</v>
      </c>
      <c r="B63" s="7"/>
      <c r="C63" s="8"/>
      <c r="D63" s="9"/>
      <c r="E63" s="10"/>
      <c r="F63" s="11"/>
      <c r="G63" s="12" t="str">
        <f>IFERROR(VLOOKUP(D63,'[1]⚙ الإعدادات'!$B$4:$D$27,3,0),"")</f>
        <v/>
      </c>
      <c r="H63" s="25"/>
      <c r="I63" s="14"/>
      <c r="J63" s="15" t="str">
        <f t="shared" si="0"/>
        <v/>
      </c>
      <c r="K63" s="16" t="str">
        <f t="shared" si="1"/>
        <v/>
      </c>
      <c r="L63" s="17" t="str">
        <f t="shared" si="2"/>
        <v/>
      </c>
    </row>
    <row r="64" spans="1:12" ht="21.75" customHeight="1">
      <c r="A64" s="18">
        <v>60</v>
      </c>
      <c r="B64" s="19"/>
      <c r="C64" s="24"/>
      <c r="D64" s="23"/>
      <c r="E64" s="20"/>
      <c r="F64" s="21"/>
      <c r="G64" s="12" t="str">
        <f>IFERROR(VLOOKUP(D64,'[1]⚙ الإعدادات'!$B$4:$D$27,3,0),"")</f>
        <v/>
      </c>
      <c r="H64" s="25"/>
      <c r="I64" s="14"/>
      <c r="J64" s="15" t="str">
        <f t="shared" si="0"/>
        <v/>
      </c>
      <c r="K64" s="16" t="str">
        <f t="shared" si="1"/>
        <v/>
      </c>
      <c r="L64" s="22" t="str">
        <f t="shared" si="2"/>
        <v/>
      </c>
    </row>
    <row r="65" spans="1:12" ht="21.75" customHeight="1">
      <c r="A65" s="6">
        <v>61</v>
      </c>
      <c r="B65" s="7"/>
      <c r="C65" s="8"/>
      <c r="D65" s="9"/>
      <c r="E65" s="10"/>
      <c r="F65" s="11"/>
      <c r="G65" s="12" t="str">
        <f>IFERROR(VLOOKUP(D65,'[1]⚙ الإعدادات'!$B$4:$D$27,3,0),"")</f>
        <v/>
      </c>
      <c r="H65" s="25"/>
      <c r="I65" s="14"/>
      <c r="J65" s="15" t="str">
        <f t="shared" si="0"/>
        <v/>
      </c>
      <c r="K65" s="16" t="str">
        <f t="shared" si="1"/>
        <v/>
      </c>
      <c r="L65" s="17" t="str">
        <f t="shared" si="2"/>
        <v/>
      </c>
    </row>
    <row r="66" spans="1:12" ht="21.75" customHeight="1">
      <c r="A66" s="18">
        <v>62</v>
      </c>
      <c r="B66" s="19"/>
      <c r="C66" s="24"/>
      <c r="D66" s="23"/>
      <c r="E66" s="20"/>
      <c r="F66" s="21"/>
      <c r="G66" s="12" t="str">
        <f>IFERROR(VLOOKUP(D66,'[1]⚙ الإعدادات'!$B$4:$D$27,3,0),"")</f>
        <v/>
      </c>
      <c r="H66" s="25"/>
      <c r="I66" s="14"/>
      <c r="J66" s="15" t="str">
        <f t="shared" si="0"/>
        <v/>
      </c>
      <c r="K66" s="16" t="str">
        <f t="shared" si="1"/>
        <v/>
      </c>
      <c r="L66" s="22" t="str">
        <f t="shared" si="2"/>
        <v/>
      </c>
    </row>
    <row r="67" spans="1:12" ht="21.75" customHeight="1">
      <c r="A67" s="6">
        <v>63</v>
      </c>
      <c r="B67" s="7"/>
      <c r="C67" s="8"/>
      <c r="D67" s="9"/>
      <c r="E67" s="10"/>
      <c r="F67" s="11"/>
      <c r="G67" s="12" t="str">
        <f>IFERROR(VLOOKUP(D67,'[1]⚙ الإعدادات'!$B$4:$D$27,3,0),"")</f>
        <v/>
      </c>
      <c r="H67" s="25"/>
      <c r="I67" s="14"/>
      <c r="J67" s="15" t="str">
        <f t="shared" si="0"/>
        <v/>
      </c>
      <c r="K67" s="16" t="str">
        <f t="shared" si="1"/>
        <v/>
      </c>
      <c r="L67" s="17" t="str">
        <f t="shared" si="2"/>
        <v/>
      </c>
    </row>
    <row r="68" spans="1:12" ht="21.75" customHeight="1">
      <c r="A68" s="18">
        <v>64</v>
      </c>
      <c r="B68" s="19"/>
      <c r="C68" s="24"/>
      <c r="D68" s="23"/>
      <c r="E68" s="20"/>
      <c r="F68" s="21"/>
      <c r="G68" s="12" t="str">
        <f>IFERROR(VLOOKUP(D68,'[1]⚙ الإعدادات'!$B$4:$D$27,3,0),"")</f>
        <v/>
      </c>
      <c r="H68" s="25"/>
      <c r="I68" s="14"/>
      <c r="J68" s="15" t="str">
        <f t="shared" si="0"/>
        <v/>
      </c>
      <c r="K68" s="16" t="str">
        <f t="shared" si="1"/>
        <v/>
      </c>
      <c r="L68" s="22" t="str">
        <f t="shared" si="2"/>
        <v/>
      </c>
    </row>
    <row r="69" spans="1:12" ht="21.75" customHeight="1">
      <c r="A69" s="6">
        <v>65</v>
      </c>
      <c r="B69" s="7"/>
      <c r="C69" s="8"/>
      <c r="D69" s="9"/>
      <c r="E69" s="10"/>
      <c r="F69" s="11"/>
      <c r="G69" s="12" t="str">
        <f>IFERROR(VLOOKUP(D69,'[1]⚙ الإعدادات'!$B$4:$D$27,3,0),"")</f>
        <v/>
      </c>
      <c r="H69" s="25"/>
      <c r="I69" s="14"/>
      <c r="J69" s="15" t="str">
        <f t="shared" ref="J69:J84" si="3">IFERROR(IF(AND(G69&lt;&gt;"",H69&lt;&gt;""),G69*H69,""),"")</f>
        <v/>
      </c>
      <c r="K69" s="16" t="str">
        <f t="shared" ref="K69:K84" si="4">IFERROR(IF(AND(I69&lt;&gt;"",J69&lt;&gt;"",J69&gt;0),I69/J69,""),"")</f>
        <v/>
      </c>
      <c r="L69" s="17" t="str">
        <f t="shared" ref="L69:L84" si="5">IFERROR(IF(AND(I69&lt;&gt;"",J69&lt;&gt;""),I69-J69,""),"")</f>
        <v/>
      </c>
    </row>
    <row r="70" spans="1:12" ht="21.75" customHeight="1">
      <c r="A70" s="18">
        <v>66</v>
      </c>
      <c r="B70" s="19"/>
      <c r="C70" s="24"/>
      <c r="D70" s="23"/>
      <c r="E70" s="20"/>
      <c r="F70" s="21"/>
      <c r="G70" s="12" t="str">
        <f>IFERROR(VLOOKUP(D70,'[1]⚙ الإعدادات'!$B$4:$D$27,3,0),"")</f>
        <v/>
      </c>
      <c r="H70" s="25"/>
      <c r="I70" s="14"/>
      <c r="J70" s="15" t="str">
        <f t="shared" si="3"/>
        <v/>
      </c>
      <c r="K70" s="16" t="str">
        <f t="shared" si="4"/>
        <v/>
      </c>
      <c r="L70" s="22" t="str">
        <f t="shared" si="5"/>
        <v/>
      </c>
    </row>
    <row r="71" spans="1:12" ht="21.75" customHeight="1">
      <c r="A71" s="6">
        <v>67</v>
      </c>
      <c r="B71" s="7"/>
      <c r="C71" s="8"/>
      <c r="D71" s="9"/>
      <c r="E71" s="10"/>
      <c r="F71" s="11"/>
      <c r="G71" s="12" t="str">
        <f>IFERROR(VLOOKUP(D71,'[1]⚙ الإعدادات'!$B$4:$D$27,3,0),"")</f>
        <v/>
      </c>
      <c r="H71" s="25"/>
      <c r="I71" s="14"/>
      <c r="J71" s="15" t="str">
        <f t="shared" si="3"/>
        <v/>
      </c>
      <c r="K71" s="16" t="str">
        <f t="shared" si="4"/>
        <v/>
      </c>
      <c r="L71" s="17" t="str">
        <f t="shared" si="5"/>
        <v/>
      </c>
    </row>
    <row r="72" spans="1:12" ht="21.75" customHeight="1">
      <c r="A72" s="18">
        <v>68</v>
      </c>
      <c r="B72" s="19"/>
      <c r="C72" s="24"/>
      <c r="D72" s="23"/>
      <c r="E72" s="20"/>
      <c r="F72" s="21"/>
      <c r="G72" s="12" t="str">
        <f>IFERROR(VLOOKUP(D72,'[1]⚙ الإعدادات'!$B$4:$D$27,3,0),"")</f>
        <v/>
      </c>
      <c r="H72" s="25"/>
      <c r="I72" s="14"/>
      <c r="J72" s="15" t="str">
        <f t="shared" si="3"/>
        <v/>
      </c>
      <c r="K72" s="16" t="str">
        <f t="shared" si="4"/>
        <v/>
      </c>
      <c r="L72" s="22" t="str">
        <f t="shared" si="5"/>
        <v/>
      </c>
    </row>
    <row r="73" spans="1:12" ht="21.75" customHeight="1">
      <c r="A73" s="6">
        <v>69</v>
      </c>
      <c r="B73" s="7"/>
      <c r="C73" s="8"/>
      <c r="D73" s="9"/>
      <c r="E73" s="10"/>
      <c r="F73" s="11"/>
      <c r="G73" s="12" t="str">
        <f>IFERROR(VLOOKUP(D73,'[1]⚙ الإعدادات'!$B$4:$D$27,3,0),"")</f>
        <v/>
      </c>
      <c r="H73" s="25"/>
      <c r="I73" s="14"/>
      <c r="J73" s="15" t="str">
        <f t="shared" si="3"/>
        <v/>
      </c>
      <c r="K73" s="16" t="str">
        <f t="shared" si="4"/>
        <v/>
      </c>
      <c r="L73" s="17" t="str">
        <f t="shared" si="5"/>
        <v/>
      </c>
    </row>
    <row r="74" spans="1:12" ht="21.75" customHeight="1">
      <c r="A74" s="18">
        <v>70</v>
      </c>
      <c r="B74" s="19"/>
      <c r="C74" s="24"/>
      <c r="D74" s="23"/>
      <c r="E74" s="20"/>
      <c r="F74" s="21"/>
      <c r="G74" s="12" t="str">
        <f>IFERROR(VLOOKUP(D74,'[1]⚙ الإعدادات'!$B$4:$D$27,3,0),"")</f>
        <v/>
      </c>
      <c r="H74" s="25"/>
      <c r="I74" s="14"/>
      <c r="J74" s="15" t="str">
        <f t="shared" si="3"/>
        <v/>
      </c>
      <c r="K74" s="16" t="str">
        <f t="shared" si="4"/>
        <v/>
      </c>
      <c r="L74" s="22" t="str">
        <f t="shared" si="5"/>
        <v/>
      </c>
    </row>
    <row r="75" spans="1:12" ht="21.75" customHeight="1">
      <c r="A75" s="6">
        <v>71</v>
      </c>
      <c r="B75" s="7"/>
      <c r="C75" s="8"/>
      <c r="D75" s="9"/>
      <c r="E75" s="10"/>
      <c r="F75" s="11"/>
      <c r="G75" s="12" t="str">
        <f>IFERROR(VLOOKUP(D75,'[1]⚙ الإعدادات'!$B$4:$D$27,3,0),"")</f>
        <v/>
      </c>
      <c r="H75" s="25"/>
      <c r="I75" s="14"/>
      <c r="J75" s="15" t="str">
        <f t="shared" si="3"/>
        <v/>
      </c>
      <c r="K75" s="16" t="str">
        <f t="shared" si="4"/>
        <v/>
      </c>
      <c r="L75" s="17" t="str">
        <f t="shared" si="5"/>
        <v/>
      </c>
    </row>
    <row r="76" spans="1:12" ht="21.75" customHeight="1">
      <c r="A76" s="18">
        <v>72</v>
      </c>
      <c r="B76" s="19"/>
      <c r="C76" s="24"/>
      <c r="D76" s="23"/>
      <c r="E76" s="20"/>
      <c r="F76" s="21"/>
      <c r="G76" s="12" t="str">
        <f>IFERROR(VLOOKUP(D76,'[1]⚙ الإعدادات'!$B$4:$D$27,3,0),"")</f>
        <v/>
      </c>
      <c r="H76" s="25"/>
      <c r="I76" s="14"/>
      <c r="J76" s="15" t="str">
        <f t="shared" si="3"/>
        <v/>
      </c>
      <c r="K76" s="16" t="str">
        <f t="shared" si="4"/>
        <v/>
      </c>
      <c r="L76" s="22" t="str">
        <f t="shared" si="5"/>
        <v/>
      </c>
    </row>
    <row r="77" spans="1:12" ht="21.75" customHeight="1">
      <c r="A77" s="6">
        <v>73</v>
      </c>
      <c r="B77" s="7"/>
      <c r="C77" s="8"/>
      <c r="D77" s="9"/>
      <c r="E77" s="10"/>
      <c r="F77" s="11"/>
      <c r="G77" s="12" t="str">
        <f>IFERROR(VLOOKUP(D77,'[1]⚙ الإعدادات'!$B$4:$D$27,3,0),"")</f>
        <v/>
      </c>
      <c r="H77" s="25"/>
      <c r="I77" s="14"/>
      <c r="J77" s="15" t="str">
        <f t="shared" si="3"/>
        <v/>
      </c>
      <c r="K77" s="16" t="str">
        <f t="shared" si="4"/>
        <v/>
      </c>
      <c r="L77" s="17" t="str">
        <f t="shared" si="5"/>
        <v/>
      </c>
    </row>
    <row r="78" spans="1:12" ht="21.75" customHeight="1">
      <c r="A78" s="18">
        <v>74</v>
      </c>
      <c r="B78" s="19"/>
      <c r="C78" s="24"/>
      <c r="D78" s="23"/>
      <c r="E78" s="20"/>
      <c r="F78" s="21"/>
      <c r="G78" s="12" t="str">
        <f>IFERROR(VLOOKUP(D78,'[1]⚙ الإعدادات'!$B$4:$D$27,3,0),"")</f>
        <v/>
      </c>
      <c r="H78" s="25"/>
      <c r="I78" s="14"/>
      <c r="J78" s="15" t="str">
        <f t="shared" si="3"/>
        <v/>
      </c>
      <c r="K78" s="16" t="str">
        <f t="shared" si="4"/>
        <v/>
      </c>
      <c r="L78" s="22" t="str">
        <f t="shared" si="5"/>
        <v/>
      </c>
    </row>
    <row r="79" spans="1:12" ht="21.75" customHeight="1">
      <c r="A79" s="6">
        <v>75</v>
      </c>
      <c r="B79" s="7"/>
      <c r="C79" s="8"/>
      <c r="D79" s="9"/>
      <c r="E79" s="10"/>
      <c r="F79" s="11"/>
      <c r="G79" s="12" t="str">
        <f>IFERROR(VLOOKUP(D79,'[1]⚙ الإعدادات'!$B$4:$D$27,3,0),"")</f>
        <v/>
      </c>
      <c r="H79" s="25"/>
      <c r="I79" s="14"/>
      <c r="J79" s="15" t="str">
        <f t="shared" si="3"/>
        <v/>
      </c>
      <c r="K79" s="16" t="str">
        <f t="shared" si="4"/>
        <v/>
      </c>
      <c r="L79" s="17" t="str">
        <f t="shared" si="5"/>
        <v/>
      </c>
    </row>
    <row r="80" spans="1:12" ht="21.75" customHeight="1">
      <c r="A80" s="18">
        <v>76</v>
      </c>
      <c r="B80" s="19"/>
      <c r="C80" s="24"/>
      <c r="D80" s="23"/>
      <c r="E80" s="20"/>
      <c r="F80" s="21"/>
      <c r="G80" s="12" t="str">
        <f>IFERROR(VLOOKUP(D80,'[1]⚙ الإعدادات'!$B$4:$D$27,3,0),"")</f>
        <v/>
      </c>
      <c r="H80" s="25"/>
      <c r="I80" s="14"/>
      <c r="J80" s="15" t="str">
        <f t="shared" si="3"/>
        <v/>
      </c>
      <c r="K80" s="16" t="str">
        <f t="shared" si="4"/>
        <v/>
      </c>
      <c r="L80" s="22" t="str">
        <f t="shared" si="5"/>
        <v/>
      </c>
    </row>
    <row r="81" spans="1:12" ht="21.75" customHeight="1">
      <c r="A81" s="6">
        <v>77</v>
      </c>
      <c r="B81" s="7"/>
      <c r="C81" s="8"/>
      <c r="D81" s="9"/>
      <c r="E81" s="10"/>
      <c r="F81" s="11"/>
      <c r="G81" s="12" t="str">
        <f>IFERROR(VLOOKUP(D81,'[1]⚙ الإعدادات'!$B$4:$D$27,3,0),"")</f>
        <v/>
      </c>
      <c r="H81" s="25"/>
      <c r="I81" s="14"/>
      <c r="J81" s="15" t="str">
        <f t="shared" si="3"/>
        <v/>
      </c>
      <c r="K81" s="16" t="str">
        <f t="shared" si="4"/>
        <v/>
      </c>
      <c r="L81" s="17" t="str">
        <f t="shared" si="5"/>
        <v/>
      </c>
    </row>
    <row r="82" spans="1:12" ht="21.75" customHeight="1">
      <c r="A82" s="18">
        <v>78</v>
      </c>
      <c r="B82" s="19"/>
      <c r="C82" s="24"/>
      <c r="D82" s="23"/>
      <c r="E82" s="20"/>
      <c r="F82" s="21"/>
      <c r="G82" s="12" t="str">
        <f>IFERROR(VLOOKUP(D82,'[1]⚙ الإعدادات'!$B$4:$D$27,3,0),"")</f>
        <v/>
      </c>
      <c r="H82" s="25"/>
      <c r="I82" s="14"/>
      <c r="J82" s="15" t="str">
        <f t="shared" si="3"/>
        <v/>
      </c>
      <c r="K82" s="16" t="str">
        <f t="shared" si="4"/>
        <v/>
      </c>
      <c r="L82" s="22" t="str">
        <f t="shared" si="5"/>
        <v/>
      </c>
    </row>
    <row r="83" spans="1:12" ht="21.75" customHeight="1">
      <c r="A83" s="6">
        <v>79</v>
      </c>
      <c r="B83" s="7"/>
      <c r="C83" s="8"/>
      <c r="D83" s="9"/>
      <c r="E83" s="10"/>
      <c r="F83" s="11"/>
      <c r="G83" s="12" t="str">
        <f>IFERROR(VLOOKUP(D83,'[1]⚙ الإعدادات'!$B$4:$D$27,3,0),"")</f>
        <v/>
      </c>
      <c r="H83" s="25"/>
      <c r="I83" s="14"/>
      <c r="J83" s="15" t="str">
        <f t="shared" si="3"/>
        <v/>
      </c>
      <c r="K83" s="16" t="str">
        <f t="shared" si="4"/>
        <v/>
      </c>
      <c r="L83" s="17" t="str">
        <f t="shared" si="5"/>
        <v/>
      </c>
    </row>
    <row r="84" spans="1:12" ht="21.75" customHeight="1" thickBot="1">
      <c r="A84" s="18">
        <v>80</v>
      </c>
      <c r="B84" s="19"/>
      <c r="C84" s="24"/>
      <c r="D84" s="23"/>
      <c r="E84" s="20"/>
      <c r="F84" s="21"/>
      <c r="G84" s="12" t="str">
        <f>IFERROR(VLOOKUP(D84,'[1]⚙ الإعدادات'!$B$4:$D$27,3,0),"")</f>
        <v/>
      </c>
      <c r="H84" s="25"/>
      <c r="I84" s="14"/>
      <c r="J84" s="15" t="str">
        <f t="shared" si="3"/>
        <v/>
      </c>
      <c r="K84" s="16" t="str">
        <f t="shared" si="4"/>
        <v/>
      </c>
      <c r="L84" s="22" t="str">
        <f t="shared" si="5"/>
        <v/>
      </c>
    </row>
    <row r="85" spans="1:12" ht="30" customHeight="1" thickBot="1">
      <c r="A85" s="29" t="s">
        <v>26</v>
      </c>
      <c r="B85" s="29"/>
      <c r="C85" s="29"/>
      <c r="D85" s="29"/>
      <c r="E85" s="29"/>
      <c r="F85" s="29"/>
      <c r="I85" s="26">
        <f>SUMIF(I5:I84,"&gt;0")</f>
        <v>60930</v>
      </c>
      <c r="J85" s="26">
        <f>SUMIF(J5:J84,"&gt;0")</f>
        <v>43510</v>
      </c>
      <c r="K85" s="27">
        <f>IFERROR(I85/J85,"")</f>
        <v>1.4003677315559642</v>
      </c>
      <c r="L85" s="28">
        <f>I85-J85</f>
        <v>17420</v>
      </c>
    </row>
    <row r="87" spans="1:12" ht="19.5" customHeight="1">
      <c r="A87" s="30" t="s">
        <v>27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</row>
  </sheetData>
  <autoFilter ref="A4:L85" xr:uid="{EC07253A-DA3F-4D2C-8C3F-10D727640EDF}"/>
  <mergeCells count="8">
    <mergeCell ref="A85:F85"/>
    <mergeCell ref="A87:L87"/>
    <mergeCell ref="A1:L1"/>
    <mergeCell ref="A3:B3"/>
    <mergeCell ref="C3:D3"/>
    <mergeCell ref="E3:F3"/>
    <mergeCell ref="G3:H3"/>
    <mergeCell ref="I3:L3"/>
  </mergeCells>
  <conditionalFormatting sqref="K5:K84">
    <cfRule type="cellIs" dxfId="2" priority="1" operator="greaterThanOrEqual">
      <formula>1</formula>
    </cfRule>
    <cfRule type="cellIs" dxfId="1" priority="2" operator="between">
      <formula>0.8</formula>
      <formula>0.99</formula>
    </cfRule>
    <cfRule type="cellIs" dxfId="0" priority="3" operator="lessThan">
      <formula>0.8</formula>
    </cfRule>
  </conditionalFormatting>
  <dataValidations count="3">
    <dataValidation type="list" allowBlank="1" showInputMessage="1" showErrorMessage="1" sqref="D5:D14 D17:D84" xr:uid="{D514CDE9-CC48-4559-9586-3A098083527A}">
      <formula1>INDIRECT(C5)</formula1>
    </dataValidation>
    <dataValidation type="list" allowBlank="1" sqref="E5:E84" xr:uid="{9E5060E3-0F88-47C4-847F-BF7D94B7DB8B}">
      <formula1>"وردية 1,وردية 2,وردية 3"</formula1>
      <formula2>0</formula2>
    </dataValidation>
    <dataValidation type="list" allowBlank="1" sqref="C5:C84" xr:uid="{EFD2F5AF-1FC7-4B6E-9E7F-221D9C9C68F1}">
      <formula1>"مكابس,دهان_معالجة,تجميع_نهائي,بلاستيك"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📋 إدخال الإنتاج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Sabry Sayed</dc:creator>
  <cp:lastModifiedBy>Mahmoud Sabry Sayed</cp:lastModifiedBy>
  <dcterms:created xsi:type="dcterms:W3CDTF">2026-06-08T07:59:21Z</dcterms:created>
  <dcterms:modified xsi:type="dcterms:W3CDTF">2026-06-08T12:07:57Z</dcterms:modified>
</cp:coreProperties>
</file>